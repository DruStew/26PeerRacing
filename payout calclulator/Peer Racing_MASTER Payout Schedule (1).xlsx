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lculator" sheetId="1" r:id="rId4"/>
    <sheet state="visible" name="sequiya " sheetId="2" r:id="rId5"/>
    <sheet state="visible" name="Danny Dietz Race" sheetId="3" r:id="rId6"/>
    <sheet state="visible" name="MAIN P&amp;L (make copies)" sheetId="4" r:id="rId7"/>
    <sheet state="visible" name="Race Results" sheetId="5" r:id="rId8"/>
    <sheet state="visible" name="Guaranteed Payout" sheetId="6" r:id="rId9"/>
    <sheet state="visible" name="PR National Championships" sheetId="7" r:id="rId10"/>
    <sheet state="visible" name="PR_PROMOTER" sheetId="8" r:id="rId11"/>
    <sheet state="visible" name="Payout Schedule" sheetId="9" r:id="rId12"/>
    <sheet state="visible" name="Notes" sheetId="10" r:id="rId13"/>
  </sheets>
  <definedNames/>
  <calcPr/>
  <extLst>
    <ext uri="GoogleSheetsCustomDataVersion2">
      <go:sheetsCustomData xmlns:go="http://customooxmlschemas.google.com/" r:id="rId14" roundtripDataChecksum="JLkel6Cyi1piFHkxfqv5tOvphdULprJ3tY+qAS5I6o4="/>
    </ext>
  </extLst>
</workbook>
</file>

<file path=xl/sharedStrings.xml><?xml version="1.0" encoding="utf-8"?>
<sst xmlns="http://schemas.openxmlformats.org/spreadsheetml/2006/main" count="470" uniqueCount="183">
  <si>
    <t>Membership</t>
  </si>
  <si>
    <t># of Contestents</t>
  </si>
  <si>
    <t>Entry Fee</t>
  </si>
  <si>
    <t>Gross Pot</t>
  </si>
  <si>
    <t>Processing Fees 4%</t>
  </si>
  <si>
    <t>Gross to Pay</t>
  </si>
  <si>
    <t>Payback/Holdings</t>
  </si>
  <si>
    <t>PR HOLDING</t>
  </si>
  <si>
    <t>RACERS POT</t>
  </si>
  <si>
    <t>True Added $</t>
  </si>
  <si>
    <t>Contestant payback + True Added $</t>
  </si>
  <si>
    <t>PR</t>
  </si>
  <si>
    <t>Producer</t>
  </si>
  <si>
    <t>D1 Added $</t>
  </si>
  <si>
    <t>Contestent Payback - D1 Added $</t>
  </si>
  <si>
    <t># of Contestent Divisions</t>
  </si>
  <si>
    <t>Even Division Payouts</t>
  </si>
  <si>
    <t>Sponsorship</t>
  </si>
  <si>
    <t>Difference</t>
  </si>
  <si>
    <t>PR NET</t>
  </si>
  <si>
    <t>ALPHA TEAM</t>
  </si>
  <si>
    <t>Payout</t>
  </si>
  <si>
    <t>TOTAL DIVISIONS PAYOUT (Color box should Match)</t>
  </si>
  <si>
    <t>Placings</t>
  </si>
  <si>
    <t>91-120</t>
  </si>
  <si>
    <t>Producer NET</t>
  </si>
  <si>
    <t>PR Membership</t>
  </si>
  <si>
    <t>Membership Sales</t>
  </si>
  <si>
    <t>Rebate</t>
  </si>
  <si>
    <t>Producer Rebate</t>
  </si>
  <si>
    <t>RACE SNAPSHOT</t>
  </si>
  <si>
    <t>CONTESTANTS</t>
  </si>
  <si>
    <t>PROMOTER</t>
  </si>
  <si>
    <t>PEER RACING</t>
  </si>
  <si>
    <t>Total</t>
  </si>
  <si>
    <t>BRAVO TEAM</t>
  </si>
  <si>
    <t>CHARLIE TEAM</t>
  </si>
  <si>
    <t>DELTA TEAM</t>
  </si>
  <si>
    <t>ECHO TEAM</t>
  </si>
  <si>
    <t>61-90</t>
  </si>
  <si>
    <t>121-150</t>
  </si>
  <si>
    <t>Event Budget Spreadsheet</t>
  </si>
  <si>
    <t>Expenses</t>
  </si>
  <si>
    <t>Budgeted</t>
  </si>
  <si>
    <t>Actual</t>
  </si>
  <si>
    <t>Variation</t>
  </si>
  <si>
    <t>INCOME</t>
  </si>
  <si>
    <t>5K ENTRIES</t>
  </si>
  <si>
    <t>10K ENTRIES</t>
  </si>
  <si>
    <t>1/2M ENTRIES</t>
  </si>
  <si>
    <t>MEMBERSHIPS</t>
  </si>
  <si>
    <t>Apparrel Sales</t>
  </si>
  <si>
    <t>Subtotal</t>
  </si>
  <si>
    <t xml:space="preserve">Facility </t>
  </si>
  <si>
    <t>Venue rental</t>
  </si>
  <si>
    <t>Security deposit</t>
  </si>
  <si>
    <t>Insurance</t>
  </si>
  <si>
    <t>Utilities (electricity, water)</t>
  </si>
  <si>
    <t>Cleaning services</t>
  </si>
  <si>
    <t>Promotions</t>
  </si>
  <si>
    <t>Advertising</t>
  </si>
  <si>
    <t>Printing and design</t>
  </si>
  <si>
    <t>Digital marketing</t>
  </si>
  <si>
    <t>Social media promotion</t>
  </si>
  <si>
    <t>Public relations</t>
  </si>
  <si>
    <t>Registration Expenses</t>
  </si>
  <si>
    <t>Online registration system</t>
  </si>
  <si>
    <t>Registration materials (badges, lanyards, etc.)</t>
  </si>
  <si>
    <t>On-site registration staff</t>
  </si>
  <si>
    <t>Attendee welcome packs</t>
  </si>
  <si>
    <t>Name tags</t>
  </si>
  <si>
    <t>Speakers and Presenters Expenses</t>
  </si>
  <si>
    <t>Speaker fees</t>
  </si>
  <si>
    <t>Travel expenses (flights, accommodation)</t>
  </si>
  <si>
    <t>Speaker gifts or honorariums</t>
  </si>
  <si>
    <t>AV equipment for presentations</t>
  </si>
  <si>
    <t>Technical support staff</t>
  </si>
  <si>
    <t>Food and Beverage Expenses</t>
  </si>
  <si>
    <t>Catering (meals, snacks, beverages)</t>
  </si>
  <si>
    <t>Coffee breaks</t>
  </si>
  <si>
    <t>Welcome reception</t>
  </si>
  <si>
    <t>Dietary restrictions accommodation</t>
  </si>
  <si>
    <t>Bar services</t>
  </si>
  <si>
    <t>Audiovisual Expenses</t>
  </si>
  <si>
    <t>Sound system and equipment rental</t>
  </si>
  <si>
    <t>Projection equipment</t>
  </si>
  <si>
    <t>Lighting and stage setup</t>
  </si>
  <si>
    <t>Videography and live streaming services</t>
  </si>
  <si>
    <t>Technical crew and support staff</t>
  </si>
  <si>
    <t>Decorations</t>
  </si>
  <si>
    <t>Theme decor</t>
  </si>
  <si>
    <t>Table centerpieces</t>
  </si>
  <si>
    <t>Floral arrangements</t>
  </si>
  <si>
    <t>Balloons</t>
  </si>
  <si>
    <t>Signage and banners</t>
  </si>
  <si>
    <t>Transportation Expenses</t>
  </si>
  <si>
    <t>Transportation for organizers and staff</t>
  </si>
  <si>
    <t>Shuttle service for attendees</t>
  </si>
  <si>
    <t>Parking fees</t>
  </si>
  <si>
    <t>Rental vehicles</t>
  </si>
  <si>
    <t>Driver services</t>
  </si>
  <si>
    <t>Miscellaneous</t>
  </si>
  <si>
    <t>Event management software</t>
  </si>
  <si>
    <t>Wi-Fi and internet access</t>
  </si>
  <si>
    <t>Printing and stationery</t>
  </si>
  <si>
    <t>Photography and videography services</t>
  </si>
  <si>
    <t>Staff and volunteers</t>
  </si>
  <si>
    <t>TOTAL RUNNERS PAYOUT</t>
  </si>
  <si>
    <t>Alpha Team</t>
  </si>
  <si>
    <t>Overall Finish</t>
  </si>
  <si>
    <t>First</t>
  </si>
  <si>
    <t>Last</t>
  </si>
  <si>
    <t>Time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</si>
  <si>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</si>
  <si>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</si>
  <si>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</si>
  <si>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</si>
  <si>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</si>
  <si>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</si>
  <si>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</si>
  <si>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</si>
  <si>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</si>
  <si>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</si>
  <si>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</si>
  <si>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</si>
  <si>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Bravo Team</t>
  </si>
  <si>
    <t>Charlie Team</t>
  </si>
  <si>
    <t>Delta Team</t>
  </si>
  <si>
    <t>Echo Team</t>
  </si>
  <si>
    <t>Producer Holding less Added Money</t>
  </si>
  <si>
    <t>D2 Added $</t>
  </si>
  <si>
    <t>ALPHA OR MENS</t>
  </si>
  <si>
    <t>271-300</t>
  </si>
  <si>
    <t>BRAVO OR FEMALE</t>
  </si>
  <si>
    <t>TEAM 6</t>
  </si>
  <si>
    <t>TEAM 7</t>
  </si>
  <si>
    <t>TEAM 8</t>
  </si>
  <si>
    <t>TEAM 9</t>
  </si>
  <si>
    <t>TEAM 10</t>
  </si>
  <si>
    <t>5K</t>
  </si>
  <si>
    <t>10k</t>
  </si>
  <si>
    <t>1/2M</t>
  </si>
  <si>
    <t>M</t>
  </si>
  <si>
    <t>100M</t>
  </si>
  <si>
    <t>Promoter Revenue</t>
  </si>
  <si>
    <t>Guranteed Sponsorship</t>
  </si>
  <si>
    <t>Total Entry Income</t>
  </si>
  <si>
    <t>Entry to Promoter</t>
  </si>
  <si>
    <t>Membership Rebate</t>
  </si>
  <si>
    <t>Total Promoter Revenue</t>
  </si>
  <si>
    <t># of Entrants</t>
  </si>
  <si>
    <t>&lt;10</t>
  </si>
  <si>
    <t>11 to 20</t>
  </si>
  <si>
    <t>21-40</t>
  </si>
  <si>
    <t>41-60</t>
  </si>
  <si>
    <t>151-180</t>
  </si>
  <si>
    <t>181-210</t>
  </si>
  <si>
    <t>211-240</t>
  </si>
  <si>
    <t>241-270</t>
  </si>
  <si>
    <t>Name</t>
  </si>
  <si>
    <t>Definition</t>
  </si>
  <si>
    <t>"D"</t>
  </si>
  <si>
    <t>D1, D2,D3 etc..simply stands for a "Division" or a split in the contestents. This does not refere to anything mathmatical, just a reference to way to split up the total number of contestents</t>
  </si>
  <si>
    <t>D1</t>
  </si>
  <si>
    <t>The first split of contestents. This is the top or open division/the best of the contestents.</t>
  </si>
  <si>
    <t>D1-Added Money</t>
  </si>
  <si>
    <t>Added money that comes from the over contestent pot. This is not TRUE added money, this comes from the existing contestents pot</t>
  </si>
  <si>
    <t>True Added Money</t>
  </si>
  <si>
    <t>This is money from sponsors or outside of entry fees that is added to the contestent payouts</t>
  </si>
  <si>
    <t>D2</t>
  </si>
  <si>
    <t>The seceond contestent division</t>
  </si>
  <si>
    <t>D3</t>
  </si>
  <si>
    <t>Third contestent division</t>
  </si>
  <si>
    <t>D4</t>
  </si>
  <si>
    <t>4th contestent division</t>
  </si>
  <si>
    <t>D5</t>
  </si>
  <si>
    <t>5th contestent division</t>
  </si>
  <si>
    <t>Contestent Divisions</t>
  </si>
  <si>
    <t>This variable will determine how many "D"s will be in the race. These can only range from 1-5</t>
  </si>
  <si>
    <t>Division payout</t>
  </si>
  <si>
    <t>This is equal to the total contestent payout divided by the number of divisions</t>
  </si>
  <si>
    <t>D payouts</t>
  </si>
  <si>
    <t xml:space="preserve">A drop down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</si>
</sst>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_(&quot;$&quot;* #,##0.00_);_(&quot;$&quot;* \(#,##0.00\);_(&quot;$&quot;* &quot;-&quot;??_);_(@_)"/>
  </numFmts>
  <fonts count="24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sz val="12.0"/>
      <color rgb="FF000118"/>
      <name val="Calibri"/>
    </font>
    <font>
      <sz val="12.0"/>
      <color rgb="FF000000"/>
      <name val="Calibri"/>
    </font>
    <font>
      <sz val="12.0"/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3.0"/>
      <color rgb="FF000000"/>
      <name val="Arial"/>
    </font>
    <font>
      <sz val="14.0"/>
      <color rgb="FF000000"/>
      <name val="Arial"/>
    </font>
    <font>
      <b/>
      <sz val="23.0"/>
      <color rgb="FF0B5394"/>
      <name val="Roboto"/>
    </font>
    <font/>
    <font>
      <b/>
      <color rgb="FFFFFFFF"/>
      <name val="Roboto"/>
    </font>
    <font>
      <b/>
      <color theme="1"/>
      <name val="Roboto"/>
    </font>
    <font>
      <color theme="1"/>
      <name val="Roboto"/>
    </font>
    <font>
      <b/>
      <color rgb="FF0B5394"/>
      <name val="Roboto"/>
    </font>
    <font>
      <b/>
      <sz val="12.0"/>
      <color theme="1"/>
      <name val="Arial"/>
    </font>
    <font>
      <b/>
      <sz val="11.0"/>
      <color theme="1"/>
      <name val="Arial"/>
    </font>
    <font>
      <sz val="12.0"/>
      <color rgb="FF212529"/>
      <name val="-apple-system"/>
    </font>
  </fonts>
  <fills count="1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9F9F9"/>
        <bgColor rgb="FFF9F9F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3D85C6"/>
        <bgColor rgb="FF3D85C6"/>
      </patternFill>
    </fill>
    <fill>
      <patternFill patternType="solid">
        <fgColor rgb="FF0C343D"/>
        <bgColor rgb="FF0C343D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</fills>
  <borders count="11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top style="thin">
        <color rgb="FFDEE2E6"/>
      </top>
      <bottom style="thin">
        <color rgb="FFDEE2E6"/>
      </bottom>
    </border>
    <border>
      <bottom style="thin">
        <color rgb="FFDEE2E6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2" fontId="3" numFmtId="164" xfId="0" applyAlignment="1" applyFill="1" applyFont="1" applyNumberFormat="1">
      <alignment horizontal="center" vertic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4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/>
    </xf>
    <xf borderId="0" fillId="0" fontId="6" numFmtId="164" xfId="0" applyFont="1" applyNumberFormat="1"/>
    <xf borderId="0" fillId="0" fontId="3" numFmtId="165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4" numFmtId="9" xfId="0" applyAlignment="1" applyFont="1" applyNumberFormat="1">
      <alignment horizontal="center" readingOrder="0" vertical="center"/>
    </xf>
    <xf borderId="1" fillId="3" fontId="4" numFmtId="164" xfId="0" applyAlignment="1" applyBorder="1" applyFill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readingOrder="0" vertical="center"/>
    </xf>
    <xf borderId="0" fillId="4" fontId="4" numFmtId="164" xfId="0" applyAlignment="1" applyFill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9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1" fillId="5" fontId="7" numFmtId="165" xfId="0" applyAlignment="1" applyBorder="1" applyFill="1" applyFont="1" applyNumberFormat="1">
      <alignment horizontal="center" readingOrder="0" vertical="center"/>
    </xf>
    <xf borderId="0" fillId="0" fontId="8" numFmtId="165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" fillId="6" fontId="8" numFmtId="164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10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1" fillId="8" fontId="9" numFmtId="164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1" fillId="9" fontId="4" numFmtId="0" xfId="0" applyAlignment="1" applyBorder="1" applyFill="1" applyFont="1">
      <alignment horizontal="center" readingOrder="0" vertical="center"/>
    </xf>
    <xf borderId="0" fillId="0" fontId="4" numFmtId="10" xfId="0" applyAlignment="1" applyFont="1" applyNumberFormat="1">
      <alignment horizontal="center" vertical="center"/>
    </xf>
    <xf borderId="0" fillId="2" fontId="6" numFmtId="165" xfId="0" applyAlignment="1" applyFont="1" applyNumberFormat="1">
      <alignment horizontal="center"/>
    </xf>
    <xf borderId="0" fillId="0" fontId="13" numFmtId="0" xfId="0" applyAlignment="1" applyFont="1">
      <alignment horizontal="right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right" vertical="center"/>
    </xf>
    <xf borderId="0" fillId="0" fontId="14" numFmtId="164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" fillId="6" fontId="9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vertical="center"/>
    </xf>
    <xf borderId="0" fillId="0" fontId="8" numFmtId="164" xfId="0" applyAlignment="1" applyFont="1" applyNumberForma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1" fillId="5" fontId="7" numFmtId="165" xfId="0" applyAlignment="1" applyBorder="1" applyFont="1" applyNumberFormat="1">
      <alignment horizontal="center" vertical="center"/>
    </xf>
    <xf borderId="1" fillId="9" fontId="4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0" fillId="0" fontId="15" numFmtId="0" xfId="0" applyAlignment="1" applyFont="1">
      <alignment horizontal="center" shrinkToFit="0" wrapText="1"/>
    </xf>
    <xf borderId="5" fillId="0" fontId="16" numFmtId="0" xfId="0" applyBorder="1" applyFont="1"/>
    <xf borderId="6" fillId="0" fontId="6" numFmtId="0" xfId="0" applyBorder="1" applyFont="1"/>
    <xf borderId="7" fillId="0" fontId="16" numFmtId="0" xfId="0" applyBorder="1" applyFont="1"/>
    <xf borderId="6" fillId="0" fontId="16" numFmtId="0" xfId="0" applyBorder="1" applyFont="1"/>
    <xf borderId="6" fillId="10" fontId="17" numFmtId="0" xfId="0" applyAlignment="1" applyBorder="1" applyFill="1" applyFont="1">
      <alignment horizontal="center" shrinkToFit="0" wrapText="1"/>
    </xf>
    <xf borderId="6" fillId="0" fontId="18" numFmtId="166" xfId="0" applyAlignment="1" applyBorder="1" applyFont="1" applyNumberFormat="1">
      <alignment horizontal="right"/>
    </xf>
    <xf borderId="6" fillId="11" fontId="17" numFmtId="0" xfId="0" applyAlignment="1" applyBorder="1" applyFill="1" applyFont="1">
      <alignment horizontal="center" shrinkToFit="0" wrapText="1"/>
    </xf>
    <xf borderId="6" fillId="11" fontId="17" numFmtId="0" xfId="0" applyAlignment="1" applyBorder="1" applyFont="1">
      <alignment horizontal="center"/>
    </xf>
    <xf borderId="2" fillId="0" fontId="6" numFmtId="0" xfId="0" applyAlignment="1" applyBorder="1" applyFont="1">
      <alignment vertical="bottom"/>
    </xf>
    <xf borderId="8" fillId="12" fontId="18" numFmtId="0" xfId="0" applyAlignment="1" applyBorder="1" applyFill="1" applyFont="1">
      <alignment shrinkToFit="0" vertical="bottom" wrapText="1"/>
    </xf>
    <xf borderId="8" fillId="0" fontId="16" numFmtId="0" xfId="0" applyBorder="1" applyFont="1"/>
    <xf borderId="3" fillId="0" fontId="16" numFmtId="0" xfId="0" applyBorder="1" applyFont="1"/>
    <xf borderId="3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4" fillId="0" fontId="6" numFmtId="0" xfId="0" applyAlignment="1" applyBorder="1" applyFont="1">
      <alignment vertical="bottom"/>
    </xf>
    <xf borderId="6" fillId="13" fontId="19" numFmtId="0" xfId="0" applyAlignment="1" applyBorder="1" applyFill="1" applyFont="1">
      <alignment shrinkToFit="0" vertical="bottom" wrapText="1"/>
    </xf>
    <xf borderId="6" fillId="13" fontId="19" numFmtId="166" xfId="0" applyAlignment="1" applyBorder="1" applyFont="1" applyNumberFormat="1">
      <alignment horizontal="right" vertical="bottom"/>
    </xf>
    <xf borderId="6" fillId="14" fontId="19" numFmtId="166" xfId="0" applyAlignment="1" applyBorder="1" applyFill="1" applyFont="1" applyNumberFormat="1">
      <alignment horizontal="right" vertical="bottom"/>
    </xf>
    <xf borderId="6" fillId="0" fontId="6" numFmtId="0" xfId="0" applyAlignment="1" applyBorder="1" applyFont="1">
      <alignment vertical="bottom"/>
    </xf>
    <xf borderId="6" fillId="15" fontId="20" numFmtId="0" xfId="0" applyAlignment="1" applyBorder="1" applyFill="1" applyFont="1">
      <alignment vertical="bottom"/>
    </xf>
    <xf borderId="6" fillId="16" fontId="17" numFmtId="166" xfId="0" applyAlignment="1" applyBorder="1" applyFill="1" applyFont="1" applyNumberFormat="1">
      <alignment horizontal="right" vertical="bottom"/>
    </xf>
    <xf borderId="6" fillId="12" fontId="18" numFmtId="0" xfId="0" applyAlignment="1" applyBorder="1" applyFont="1">
      <alignment shrinkToFit="0" wrapText="1"/>
    </xf>
    <xf borderId="7" fillId="12" fontId="18" numFmtId="0" xfId="0" applyAlignment="1" applyBorder="1" applyFont="1">
      <alignment shrinkToFit="0" wrapText="1"/>
    </xf>
    <xf borderId="6" fillId="13" fontId="19" numFmtId="0" xfId="0" applyAlignment="1" applyBorder="1" applyFont="1">
      <alignment shrinkToFit="0" wrapText="1"/>
    </xf>
    <xf borderId="6" fillId="13" fontId="19" numFmtId="166" xfId="0" applyAlignment="1" applyBorder="1" applyFont="1" applyNumberFormat="1">
      <alignment horizontal="right"/>
    </xf>
    <xf borderId="6" fillId="14" fontId="19" numFmtId="166" xfId="0" applyAlignment="1" applyBorder="1" applyFont="1" applyNumberFormat="1">
      <alignment horizontal="right"/>
    </xf>
    <xf borderId="6" fillId="15" fontId="20" numFmtId="0" xfId="0" applyBorder="1" applyFont="1"/>
    <xf borderId="6" fillId="16" fontId="17" numFmtId="166" xfId="0" applyAlignment="1" applyBorder="1" applyFont="1" applyNumberFormat="1">
      <alignment horizontal="right"/>
    </xf>
    <xf borderId="0" fillId="0" fontId="6" numFmtId="0" xfId="0" applyFont="1"/>
    <xf borderId="0" fillId="0" fontId="21" numFmtId="164" xfId="0" applyAlignment="1" applyFont="1" applyNumberFormat="1">
      <alignment horizontal="center"/>
    </xf>
    <xf borderId="0" fillId="0" fontId="22" numFmtId="0" xfId="0" applyFont="1"/>
    <xf borderId="0" fillId="0" fontId="22" numFmtId="164" xfId="0" applyFont="1" applyNumberFormat="1"/>
    <xf borderId="9" fillId="0" fontId="23" numFmtId="0" xfId="0" applyAlignment="1" applyBorder="1" applyFont="1">
      <alignment horizontal="center" vertical="top"/>
    </xf>
    <xf borderId="9" fillId="0" fontId="23" numFmtId="0" xfId="0" applyAlignment="1" applyBorder="1" applyFont="1">
      <alignment vertical="top"/>
    </xf>
    <xf borderId="9" fillId="0" fontId="23" numFmtId="21" xfId="0" applyAlignment="1" applyBorder="1" applyFont="1" applyNumberFormat="1">
      <alignment horizontal="center" vertical="top"/>
    </xf>
    <xf borderId="10" fillId="0" fontId="23" numFmtId="0" xfId="0" applyAlignment="1" applyBorder="1" applyFont="1">
      <alignment horizontal="center" vertical="top"/>
    </xf>
    <xf borderId="10" fillId="0" fontId="23" numFmtId="0" xfId="0" applyAlignment="1" applyBorder="1" applyFont="1">
      <alignment vertical="top"/>
    </xf>
    <xf borderId="10" fillId="0" fontId="23" numFmtId="21" xfId="0" applyAlignment="1" applyBorder="1" applyFont="1" applyNumberFormat="1">
      <alignment horizontal="center" vertical="top"/>
    </xf>
    <xf borderId="0" fillId="0" fontId="4" numFmtId="165" xfId="0" applyAlignment="1" applyFont="1" applyNumberFormat="1">
      <alignment horizontal="center" vertical="center"/>
    </xf>
    <xf borderId="0" fillId="2" fontId="2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/>
    </xf>
    <xf borderId="0" fillId="0" fontId="2" numFmtId="4" xfId="0" applyAlignment="1" applyFont="1" applyNumberFormat="1">
      <alignment horizontal="center" vertical="center"/>
    </xf>
    <xf borderId="0" fillId="0" fontId="2" numFmtId="4" xfId="0" applyFont="1" applyNumberFormat="1"/>
    <xf borderId="0" fillId="0" fontId="4" numFmtId="10" xfId="0" applyAlignment="1" applyFont="1" applyNumberFormat="1">
      <alignment horizontal="center"/>
    </xf>
    <xf borderId="0" fillId="0" fontId="4" numFmtId="10" xfId="0" applyFont="1" applyNumberFormat="1"/>
    <xf borderId="0" fillId="0" fontId="2" numFmtId="0" xfId="0" applyFont="1"/>
    <xf borderId="0" fillId="0" fontId="4" numFmtId="4" xfId="0" applyFont="1" applyNumberForma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3.63"/>
    <col customWidth="1" min="2" max="2" width="20.0"/>
    <col customWidth="1" min="3" max="5" width="32.13"/>
    <col customWidth="1" min="6" max="6" width="17.0"/>
    <col customWidth="1" min="7" max="7" width="19.5"/>
    <col customWidth="1" min="8" max="8" width="16.5"/>
    <col customWidth="1" min="9" max="9" width="17.5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0.0</v>
      </c>
      <c r="B2" s="5">
        <v>100.0</v>
      </c>
      <c r="C2" s="6">
        <v>150.0</v>
      </c>
      <c r="D2" s="7"/>
      <c r="E2" s="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D3" s="2" t="s">
        <v>3</v>
      </c>
      <c r="E3" s="8" t="s">
        <v>4</v>
      </c>
      <c r="F3" s="9" t="s">
        <v>5</v>
      </c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D4" s="10">
        <f>B2*C2</f>
        <v>15000</v>
      </c>
      <c r="E4" s="11">
        <f>D4*4%</f>
        <v>600</v>
      </c>
      <c r="F4" s="12">
        <f>D4-E4</f>
        <v>14400</v>
      </c>
      <c r="G4" s="2" t="s">
        <v>6</v>
      </c>
      <c r="H4" s="2"/>
      <c r="Q4" s="1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/>
      <c r="B5" s="14"/>
      <c r="C5" s="14"/>
      <c r="D5" s="14"/>
      <c r="F5" s="15" t="s">
        <v>7</v>
      </c>
      <c r="G5" s="16">
        <v>0.5</v>
      </c>
      <c r="H5" s="10">
        <f>F4*G5</f>
        <v>7200</v>
      </c>
      <c r="I5" s="15"/>
      <c r="Q5" s="1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14"/>
      <c r="C6" s="14"/>
      <c r="D6" s="14"/>
      <c r="F6" s="15" t="s">
        <v>8</v>
      </c>
      <c r="G6" s="16">
        <v>0.5</v>
      </c>
      <c r="H6" s="17">
        <f>F4*G6</f>
        <v>7200</v>
      </c>
      <c r="I6" s="15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/>
      <c r="B7" s="14"/>
      <c r="C7" s="14"/>
      <c r="D7" s="14"/>
      <c r="G7" s="18">
        <f t="shared" ref="G7:H7" si="1">SUM(G5:G6)</f>
        <v>1</v>
      </c>
      <c r="H7" s="10">
        <f t="shared" si="1"/>
        <v>14400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2" t="str">
        <f>F10</f>
        <v/>
      </c>
      <c r="C8" s="2" t="s">
        <v>9</v>
      </c>
      <c r="D8" s="2" t="s">
        <v>10</v>
      </c>
      <c r="E8" s="7"/>
      <c r="F8" s="2"/>
      <c r="G8" s="3"/>
      <c r="H8" s="3"/>
      <c r="I8" s="3"/>
      <c r="J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7">
        <f>H6</f>
        <v>7200</v>
      </c>
      <c r="C9" s="19">
        <v>0.0</v>
      </c>
      <c r="D9" s="20">
        <f>B9+C9</f>
        <v>7200</v>
      </c>
      <c r="E9" s="7"/>
      <c r="F9" s="14"/>
      <c r="G9" s="21" t="s">
        <v>11</v>
      </c>
      <c r="H9" s="22">
        <v>0.5</v>
      </c>
      <c r="I9" s="23">
        <f>H9*H5</f>
        <v>3600</v>
      </c>
      <c r="J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14"/>
      <c r="C10" s="14"/>
      <c r="D10" s="14"/>
      <c r="E10" s="14"/>
      <c r="F10" s="14"/>
      <c r="G10" s="21" t="s">
        <v>12</v>
      </c>
      <c r="H10" s="22">
        <v>0.5</v>
      </c>
      <c r="I10" s="23">
        <f>H10*H5</f>
        <v>3600</v>
      </c>
      <c r="J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2" t="s">
        <v>13</v>
      </c>
      <c r="C11" s="2" t="s">
        <v>14</v>
      </c>
      <c r="D11" s="2" t="s">
        <v>15</v>
      </c>
      <c r="E11" s="2" t="s">
        <v>16</v>
      </c>
      <c r="F11" s="14"/>
      <c r="G11" s="21"/>
      <c r="H11" s="24">
        <f t="shared" ref="H11:I11" si="2">SUM(H9:H10)</f>
        <v>1</v>
      </c>
      <c r="I11" s="13">
        <f t="shared" si="2"/>
        <v>7200</v>
      </c>
      <c r="J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25">
        <v>0.0</v>
      </c>
      <c r="C12" s="26">
        <f>D9-B12</f>
        <v>7200</v>
      </c>
      <c r="D12" s="27">
        <v>5.0</v>
      </c>
      <c r="E12" s="28">
        <f>C12/D12</f>
        <v>1440</v>
      </c>
      <c r="F12" s="14"/>
      <c r="G12" s="3"/>
      <c r="H12" s="3"/>
      <c r="I12" s="13"/>
      <c r="J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29"/>
      <c r="C13" s="27"/>
      <c r="D13" s="27"/>
      <c r="E13" s="27"/>
      <c r="F13" s="30"/>
      <c r="G13" s="21" t="s">
        <v>17</v>
      </c>
      <c r="H13" s="21" t="s">
        <v>18</v>
      </c>
      <c r="I13" s="13" t="s">
        <v>19</v>
      </c>
      <c r="J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31" t="s">
        <v>20</v>
      </c>
      <c r="C14" s="27"/>
      <c r="D14" s="7"/>
      <c r="E14" s="32"/>
      <c r="F14" s="30"/>
      <c r="G14" s="23">
        <v>0.0</v>
      </c>
      <c r="H14" s="23">
        <f>I10-G14</f>
        <v>3600</v>
      </c>
      <c r="I14" s="23">
        <f>IF(OR(I9&lt;0, H14&lt;0), SUM(I9,H14), I9)
</f>
        <v>3600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33">
        <f>B12+E12</f>
        <v>1440</v>
      </c>
      <c r="C15" s="32" t="s">
        <v>21</v>
      </c>
      <c r="D15" s="34" t="s">
        <v>22</v>
      </c>
      <c r="E15" s="27"/>
      <c r="F15" s="30"/>
      <c r="G15" s="3"/>
      <c r="H15" s="3"/>
      <c r="I15" s="2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" t="s">
        <v>23</v>
      </c>
      <c r="B16" s="35" t="s">
        <v>24</v>
      </c>
      <c r="C16" s="1"/>
      <c r="D16" s="20">
        <f>sum(C30,C48,C66,C84,C102)</f>
        <v>7200</v>
      </c>
      <c r="E16" s="3"/>
      <c r="F16" s="3"/>
      <c r="G16" s="3"/>
      <c r="H16" s="3"/>
      <c r="I16" s="23" t="s">
        <v>25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">
        <v>1.0</v>
      </c>
      <c r="B17" s="36">
        <f>IFERROR(HLOOKUP(B16,'Payout Schedule'!$B$1:$M$13,A17+1,0),"")</f>
        <v>0.33</v>
      </c>
      <c r="C17" s="10">
        <f>IFERROR(B15*B17,"")</f>
        <v>475.2</v>
      </c>
      <c r="D17" s="3"/>
      <c r="E17" s="3"/>
      <c r="F17" s="3"/>
      <c r="G17" s="3"/>
      <c r="H17" s="3"/>
      <c r="I17" s="23">
        <f>IF(I10 &gt; G14, I10, G14)</f>
        <v>3600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">
        <v>2.0</v>
      </c>
      <c r="B18" s="36">
        <f>IFERROR(HLOOKUP(B16,'Payout Schedule'!$B$1:$M$13,A18+1,0),"")</f>
        <v>0.23</v>
      </c>
      <c r="C18" s="10">
        <f>IFERROR(B15*B18,"")</f>
        <v>331.2</v>
      </c>
      <c r="D18" s="3"/>
      <c r="E18" s="3"/>
      <c r="F18" s="3"/>
      <c r="G18" s="3"/>
      <c r="H18" s="3"/>
      <c r="I18" s="1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">
        <v>3.0</v>
      </c>
      <c r="B19" s="36">
        <f>IFERROR(HLOOKUP(B16,'Payout Schedule'!$B$1:$M$13,A19+1,0),"")</f>
        <v>0.17</v>
      </c>
      <c r="C19" s="10">
        <f>IFERROR(B15*B19,"")</f>
        <v>244.8</v>
      </c>
      <c r="D19" s="3"/>
      <c r="E19" s="3"/>
      <c r="F19" s="3"/>
      <c r="G19" s="3"/>
      <c r="H19" s="3"/>
      <c r="I19" s="21" t="s">
        <v>26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">
        <v>4.0</v>
      </c>
      <c r="B20" s="36">
        <f>IFERROR(HLOOKUP(B16,'Payout Schedule'!$B$1:$M$13,A20+1,0),"")</f>
        <v>0.12</v>
      </c>
      <c r="C20" s="10">
        <f>IFERROR(B15*B20,"")</f>
        <v>172.8</v>
      </c>
      <c r="D20" s="3"/>
      <c r="E20" s="3"/>
      <c r="F20" s="3"/>
      <c r="G20" s="21" t="s">
        <v>27</v>
      </c>
      <c r="H20" s="15" t="s">
        <v>28</v>
      </c>
      <c r="I20" s="23">
        <f>G21-I22</f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>
        <v>5.0</v>
      </c>
      <c r="B21" s="36">
        <f>IFERROR(HLOOKUP(B16,'Payout Schedule'!$B$1:$M$13,A21+1,0),"")</f>
        <v>0.09</v>
      </c>
      <c r="C21" s="10">
        <f>IFERROR(B15*B21,"")</f>
        <v>129.6</v>
      </c>
      <c r="D21" s="3"/>
      <c r="E21" s="3"/>
      <c r="F21" s="3"/>
      <c r="G21" s="23">
        <f>A2*B2</f>
        <v>0</v>
      </c>
      <c r="H21" s="37">
        <v>0.0</v>
      </c>
      <c r="I21" s="21" t="s">
        <v>29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>
        <v>6.0</v>
      </c>
      <c r="B22" s="36">
        <f>IFERROR(HLOOKUP(B16,'Payout Schedule'!$B$1:$M$13,A22+1,0),"")</f>
        <v>0.06</v>
      </c>
      <c r="C22" s="10">
        <f>IFERROR(B15*B22,"")</f>
        <v>86.4</v>
      </c>
      <c r="D22" s="3"/>
      <c r="E22" s="3"/>
      <c r="F22" s="3"/>
      <c r="G22" s="3"/>
      <c r="H22" s="3"/>
      <c r="I22" s="23">
        <f>B2*H21</f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>
        <v>7.0</v>
      </c>
      <c r="B23" s="36" t="str">
        <f>IFERROR(HLOOKUP(B16,'Payout Schedule'!$B$1:$M$13,A23+1,0),"")</f>
        <v/>
      </c>
      <c r="C23" s="10">
        <f>IFERROR(B15*B23,"")</f>
        <v>0</v>
      </c>
      <c r="D23" s="3"/>
      <c r="E23" s="3"/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>
        <v>8.0</v>
      </c>
      <c r="B24" s="36" t="str">
        <f>IFERROR(HLOOKUP(B16,'Payout Schedule'!$B$1:$M$13,A24+1,0),"")</f>
        <v/>
      </c>
      <c r="C24" s="10">
        <f>IFERROR(B15*B24,"")</f>
        <v>0</v>
      </c>
      <c r="D24" s="3"/>
      <c r="E24" s="38" t="s">
        <v>30</v>
      </c>
      <c r="F24" s="3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>
        <v>9.0</v>
      </c>
      <c r="B25" s="36" t="str">
        <f>IFERROR(HLOOKUP(B16,'Payout Schedule'!$B$1:$M$13,A25+1,0),"")</f>
        <v/>
      </c>
      <c r="C25" s="10">
        <f>IFERROR(B15*B25,"")</f>
        <v>0</v>
      </c>
      <c r="D25" s="3"/>
      <c r="E25" s="40" t="s">
        <v>31</v>
      </c>
      <c r="F25" s="41">
        <f>D9</f>
        <v>7200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>
        <v>10.0</v>
      </c>
      <c r="B26" s="36" t="str">
        <f>IFERROR(HLOOKUP(B16,'Payout Schedule'!$B$1:$M$13,A26+1,0),"")</f>
        <v/>
      </c>
      <c r="C26" s="10">
        <f>IFERROR(B15*B26,"")</f>
        <v>0</v>
      </c>
      <c r="D26" s="3"/>
      <c r="E26" s="40" t="s">
        <v>32</v>
      </c>
      <c r="F26" s="41">
        <f>I22+I17</f>
        <v>3600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>
        <v>11.0</v>
      </c>
      <c r="B27" s="36" t="str">
        <f>IFERROR(HLOOKUP(B16,'Payout Schedule'!$B$1:$M$13,A27+1,0),"")</f>
        <v/>
      </c>
      <c r="C27" s="10">
        <f>IFERROR(B15*B27,"")</f>
        <v>0</v>
      </c>
      <c r="D27" s="3"/>
      <c r="E27" s="40" t="s">
        <v>33</v>
      </c>
      <c r="F27" s="41">
        <f>I9+I20</f>
        <v>3600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>
        <v>12.0</v>
      </c>
      <c r="B28" s="36" t="str">
        <f>IFERROR(HLOOKUP(B16,'Payout Schedule'!$B$1:$M$13,A28+1,0),"")</f>
        <v/>
      </c>
      <c r="C28" s="10">
        <f>IFERROR(B15*B28,"")</f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14"/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34</v>
      </c>
      <c r="B30" s="42">
        <f t="shared" ref="B30:C30" si="3">SUM(B17:B28)</f>
        <v>1</v>
      </c>
      <c r="C30" s="43">
        <f t="shared" si="3"/>
        <v>1440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1" t="s">
        <v>35</v>
      </c>
      <c r="C32" s="27"/>
      <c r="D32" s="7"/>
      <c r="E32" s="32"/>
      <c r="F32" s="30"/>
      <c r="G32" s="2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44">
        <f>IF(D12=1,0,IF(D12=2,E12,IF(D12=3,E12,IF(D12=4,E12,IF(D12=5,E12)))))</f>
        <v>1440</v>
      </c>
      <c r="C33" s="32" t="s">
        <v>21</v>
      </c>
      <c r="D33" s="7"/>
      <c r="E33" s="27"/>
      <c r="F33" s="30"/>
      <c r="G33" s="2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23</v>
      </c>
      <c r="B34" s="35" t="s">
        <v>24</v>
      </c>
      <c r="C34" s="1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>
        <v>1.0</v>
      </c>
      <c r="B35" s="36">
        <f>IFERROR(HLOOKUP(B34,'Payout Schedule'!$B$1:$M$13,A35+1,0),"")</f>
        <v>0.33</v>
      </c>
      <c r="C35" s="10">
        <f>IFERROR(B33*B35,"")</f>
        <v>475.2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>
        <v>2.0</v>
      </c>
      <c r="B36" s="36">
        <f>IFERROR(HLOOKUP(B34,'Payout Schedule'!$B$1:$M$13,A36+1,0),"")</f>
        <v>0.23</v>
      </c>
      <c r="C36" s="10">
        <f>IFERROR(B33*B36,"")</f>
        <v>331.2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>
        <v>3.0</v>
      </c>
      <c r="B37" s="36">
        <f>IFERROR(HLOOKUP(B34,'Payout Schedule'!$B$1:$M$13,A37+1,0),"")</f>
        <v>0.17</v>
      </c>
      <c r="C37" s="10">
        <f>IFERROR(B33*B37,"")</f>
        <v>244.8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>
        <v>4.0</v>
      </c>
      <c r="B38" s="36">
        <f>IFERROR(HLOOKUP(B34,'Payout Schedule'!$B$1:$M$13,A38+1,0),"")</f>
        <v>0.12</v>
      </c>
      <c r="C38" s="10">
        <f>IFERROR(B33*B38,"")</f>
        <v>172.8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>
        <v>5.0</v>
      </c>
      <c r="B39" s="36">
        <f>IFERROR(HLOOKUP(B34,'Payout Schedule'!$B$1:$M$13,A39+1,0),"")</f>
        <v>0.09</v>
      </c>
      <c r="C39" s="10">
        <f>IFERROR(B33*B39,"")</f>
        <v>129.6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>
        <v>6.0</v>
      </c>
      <c r="B40" s="36">
        <f>IFERROR(HLOOKUP(B34,'Payout Schedule'!$B$1:$M$13,A40+1,0),"")</f>
        <v>0.06</v>
      </c>
      <c r="C40" s="10">
        <f>IFERROR(B33*B40,"")</f>
        <v>86.4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>
        <v>7.0</v>
      </c>
      <c r="B41" s="36" t="str">
        <f>IFERROR(HLOOKUP(B34,'Payout Schedule'!$B$1:$M$13,A41+1,0),"")</f>
        <v/>
      </c>
      <c r="C41" s="10">
        <f>IFERROR(B33*B41,"")</f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>
        <v>8.0</v>
      </c>
      <c r="B42" s="36" t="str">
        <f>IFERROR(HLOOKUP(B34,'Payout Schedule'!$B$1:$M$13,A42+1,0),"")</f>
        <v/>
      </c>
      <c r="C42" s="10">
        <f>IFERROR(B33*B42,"")</f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>
        <v>9.0</v>
      </c>
      <c r="B43" s="36" t="str">
        <f>IFERROR(HLOOKUP(B34,'Payout Schedule'!$B$1:$M$13,A43+1,0),"")</f>
        <v/>
      </c>
      <c r="C43" s="10">
        <f>IFERROR(B33*B43,"")</f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>
        <v>10.0</v>
      </c>
      <c r="B44" s="36" t="str">
        <f>IFERROR(HLOOKUP(B34,'Payout Schedule'!$B$1:$M$13,A44+1,0),"")</f>
        <v/>
      </c>
      <c r="C44" s="10">
        <f>IFERROR(B33*B44,"")</f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>
        <v>11.0</v>
      </c>
      <c r="B45" s="36" t="str">
        <f>IFERROR(HLOOKUP(B34,'Payout Schedule'!$B$1:$M$13,A45+1,0),"")</f>
        <v/>
      </c>
      <c r="C45" s="10">
        <f>IFERROR(B33*B45,"")</f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>
        <v>12.0</v>
      </c>
      <c r="B46" s="36" t="str">
        <f>IFERROR(HLOOKUP(B34,'Payout Schedule'!$B$1:$M$13,A46+1,0),"")</f>
        <v/>
      </c>
      <c r="C46" s="10">
        <f>IFERROR(B33*B46,"")</f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14"/>
      <c r="C47" s="4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 t="s">
        <v>34</v>
      </c>
      <c r="B48" s="42">
        <f t="shared" ref="B48:C48" si="4">SUM(B35:B46)</f>
        <v>1</v>
      </c>
      <c r="C48" s="43">
        <f t="shared" si="4"/>
        <v>1440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4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1" t="s">
        <v>36</v>
      </c>
      <c r="C50" s="47"/>
      <c r="D50" s="7"/>
      <c r="E50" s="32"/>
      <c r="F50" s="30"/>
      <c r="G50" s="2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3">
        <f>IF(D12=1,0,IF(D12=2,0,IF(D12=3,E12,IF(D12=4,E12,IF(D12=5,E12)))))</f>
        <v>1440</v>
      </c>
      <c r="C51" s="48" t="s">
        <v>21</v>
      </c>
      <c r="D51" s="7"/>
      <c r="E51" s="27"/>
      <c r="F51" s="30"/>
      <c r="G51" s="2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 t="s">
        <v>23</v>
      </c>
      <c r="B52" s="35" t="s">
        <v>24</v>
      </c>
      <c r="C52" s="45"/>
      <c r="D52" s="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>
        <v>1.0</v>
      </c>
      <c r="B53" s="36">
        <f>IFERROR(HLOOKUP(B52,'Payout Schedule'!$B$1:$M$13,A53+1,0),"")</f>
        <v>0.33</v>
      </c>
      <c r="C53" s="10">
        <f>IFERROR(B51*B53,"")</f>
        <v>475.2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>
        <v>2.0</v>
      </c>
      <c r="B54" s="36">
        <f>IFERROR(HLOOKUP(B52,'Payout Schedule'!$B$1:$M$13,A54+1,0),"")</f>
        <v>0.23</v>
      </c>
      <c r="C54" s="10">
        <f>IFERROR(B51*B54,"")</f>
        <v>331.2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>
        <v>3.0</v>
      </c>
      <c r="B55" s="36">
        <f>IFERROR(HLOOKUP(B52,'Payout Schedule'!$B$1:$M$13,A55+1,0),"")</f>
        <v>0.17</v>
      </c>
      <c r="C55" s="10">
        <f>IFERROR(B51*B55,"")</f>
        <v>244.8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>
        <v>4.0</v>
      </c>
      <c r="B56" s="36">
        <f>IFERROR(HLOOKUP(B52,'Payout Schedule'!$B$1:$M$13,A56+1,0),"")</f>
        <v>0.12</v>
      </c>
      <c r="C56" s="10">
        <f>IFERROR(B51*B56,"")</f>
        <v>172.8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>
        <v>5.0</v>
      </c>
      <c r="B57" s="36">
        <f>IFERROR(HLOOKUP(B52,'Payout Schedule'!$B$1:$M$13,A57+1,0),"")</f>
        <v>0.09</v>
      </c>
      <c r="C57" s="10">
        <f>IFERROR(B51*B57,"")</f>
        <v>129.6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>
        <v>6.0</v>
      </c>
      <c r="B58" s="36">
        <f>IFERROR(HLOOKUP(B52,'Payout Schedule'!$B$1:$M$13,A58+1,0),"")</f>
        <v>0.06</v>
      </c>
      <c r="C58" s="10">
        <f>IFERROR(B51*B58,"")</f>
        <v>86.4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>
        <v>7.0</v>
      </c>
      <c r="B59" s="36" t="str">
        <f>IFERROR(HLOOKUP(B52,'Payout Schedule'!$B$1:$M$13,A59+1,0),"")</f>
        <v/>
      </c>
      <c r="C59" s="10">
        <f>IFERROR(B51*B59,"")</f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>
        <v>8.0</v>
      </c>
      <c r="B60" s="36" t="str">
        <f>IFERROR(HLOOKUP(B52,'Payout Schedule'!$B$1:$M$13,A60+1,0),"")</f>
        <v/>
      </c>
      <c r="C60" s="10">
        <f>IFERROR(B51*B60,"")</f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>
        <v>9.0</v>
      </c>
      <c r="B61" s="36" t="str">
        <f>IFERROR(HLOOKUP(B52,'Payout Schedule'!$B$1:$M$13,A61+1,0),"")</f>
        <v/>
      </c>
      <c r="C61" s="10">
        <f>IFERROR(B51*B61,"")</f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>
        <v>10.0</v>
      </c>
      <c r="B62" s="36" t="str">
        <f>IFERROR(HLOOKUP(B52,'Payout Schedule'!$B$1:$M$13,A62+1,0),"")</f>
        <v/>
      </c>
      <c r="C62" s="10">
        <f>IFERROR(B51*B62,"")</f>
        <v>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>
        <v>11.0</v>
      </c>
      <c r="B63" s="36" t="str">
        <f>IFERROR(HLOOKUP(B52,'Payout Schedule'!$B$1:$M$13,A63+1,0),"")</f>
        <v/>
      </c>
      <c r="C63" s="10">
        <f>IFERROR(B51*B63,"")</f>
        <v>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>
        <v>12.0</v>
      </c>
      <c r="B64" s="36" t="str">
        <f>IFERROR(HLOOKUP(B52,'Payout Schedule'!$B$1:$M$13,A64+1,0),"")</f>
        <v/>
      </c>
      <c r="C64" s="10">
        <f>IFERROR(B51*B64,"")</f>
        <v>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14"/>
      <c r="C65" s="4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 t="s">
        <v>34</v>
      </c>
      <c r="B66" s="42">
        <f t="shared" ref="B66:C66" si="5">SUM(B53:B64)</f>
        <v>1</v>
      </c>
      <c r="C66" s="43">
        <f t="shared" si="5"/>
        <v>1440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4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1" t="s">
        <v>37</v>
      </c>
      <c r="C68" s="47"/>
      <c r="D68" s="7"/>
      <c r="E68" s="32"/>
      <c r="F68" s="30"/>
      <c r="G68" s="27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3">
        <f>IF(D12=1,0,IF(D12=2,0,IF(D12=3,0,IF(D12=4,E12,IF(D12=5,E12)))))</f>
        <v>1440</v>
      </c>
      <c r="C69" s="48" t="s">
        <v>21</v>
      </c>
      <c r="D69" s="7"/>
      <c r="E69" s="27"/>
      <c r="F69" s="30"/>
      <c r="G69" s="27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 t="s">
        <v>23</v>
      </c>
      <c r="B70" s="35" t="s">
        <v>24</v>
      </c>
      <c r="C70" s="45"/>
      <c r="D70" s="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>
        <v>1.0</v>
      </c>
      <c r="B71" s="36">
        <f>IFERROR(HLOOKUP(B70,'Payout Schedule'!$B$1:$M$13,A71+1,0),"")</f>
        <v>0.33</v>
      </c>
      <c r="C71" s="10">
        <f>IFERROR(B69*B71,"")</f>
        <v>475.2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>
        <v>2.0</v>
      </c>
      <c r="B72" s="36">
        <f>IFERROR(HLOOKUP(B70,'Payout Schedule'!$B$1:$M$13,A72+1,0),"")</f>
        <v>0.23</v>
      </c>
      <c r="C72" s="10">
        <f>IFERROR(B69*B72,"")</f>
        <v>331.2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>
        <v>3.0</v>
      </c>
      <c r="B73" s="36">
        <f>IFERROR(HLOOKUP(B70,'Payout Schedule'!$B$1:$M$13,A73+1,0),"")</f>
        <v>0.17</v>
      </c>
      <c r="C73" s="10">
        <f>IFERROR(B69*B73,"")</f>
        <v>244.8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>
        <v>4.0</v>
      </c>
      <c r="B74" s="36">
        <f>IFERROR(HLOOKUP(B70,'Payout Schedule'!$B$1:$M$13,A74+1,0),"")</f>
        <v>0.12</v>
      </c>
      <c r="C74" s="10">
        <f>IFERROR(B69*B74,"")</f>
        <v>172.8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>
        <v>5.0</v>
      </c>
      <c r="B75" s="36">
        <f>IFERROR(HLOOKUP(B70,'Payout Schedule'!$B$1:$M$13,A75+1,0),"")</f>
        <v>0.09</v>
      </c>
      <c r="C75" s="10">
        <f>IFERROR(B69*B75,"")</f>
        <v>129.6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>
        <v>6.0</v>
      </c>
      <c r="B76" s="36">
        <f>IFERROR(HLOOKUP(B70,'Payout Schedule'!$B$1:$M$13,A76+1,0),"")</f>
        <v>0.06</v>
      </c>
      <c r="C76" s="10">
        <f>IFERROR(B69*B76,"")</f>
        <v>86.4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>
        <v>7.0</v>
      </c>
      <c r="B77" s="36" t="str">
        <f>IFERROR(HLOOKUP(B70,'Payout Schedule'!$B$1:$M$13,A77+1,0),"")</f>
        <v/>
      </c>
      <c r="C77" s="10">
        <f>IFERROR(B69*B77,"")</f>
        <v>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>
        <v>8.0</v>
      </c>
      <c r="B78" s="36" t="str">
        <f>IFERROR(HLOOKUP(B70,'Payout Schedule'!$B$1:$M$13,A78+1,0),"")</f>
        <v/>
      </c>
      <c r="C78" s="10">
        <f>IFERROR(B69*B78,"")</f>
        <v>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>
        <v>9.0</v>
      </c>
      <c r="B79" s="36" t="str">
        <f>IFERROR(HLOOKUP(B70,'Payout Schedule'!$B$1:$M$13,A79+1,0),"")</f>
        <v/>
      </c>
      <c r="C79" s="10">
        <f>IFERROR(B69*B79,"")</f>
        <v>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>
        <v>10.0</v>
      </c>
      <c r="B80" s="36" t="str">
        <f>IFERROR(HLOOKUP(B70,'Payout Schedule'!$B$1:$M$13,A80+1,0),"")</f>
        <v/>
      </c>
      <c r="C80" s="10">
        <f>IFERROR(B69*B80,"")</f>
        <v>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>
        <v>11.0</v>
      </c>
      <c r="B81" s="36" t="str">
        <f>IFERROR(HLOOKUP(B70,'Payout Schedule'!$B$1:$M$13,A81+1,0),"")</f>
        <v/>
      </c>
      <c r="C81" s="10">
        <f>IFERROR(B69*B81,"")</f>
        <v>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>
        <v>12.0</v>
      </c>
      <c r="B82" s="36" t="str">
        <f>IFERROR(HLOOKUP(B70,'Payout Schedule'!$B$1:$M$13,A82+1,0),"")</f>
        <v/>
      </c>
      <c r="C82" s="10">
        <f>IFERROR(B69*B82,"")</f>
        <v>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14"/>
      <c r="C83" s="4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 t="s">
        <v>34</v>
      </c>
      <c r="B84" s="42">
        <f t="shared" ref="B84:C84" si="6">SUM(B71:B82)</f>
        <v>1</v>
      </c>
      <c r="C84" s="43">
        <f t="shared" si="6"/>
        <v>1440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4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1" t="s">
        <v>38</v>
      </c>
      <c r="C86" s="47"/>
      <c r="D86" s="7"/>
      <c r="E86" s="32"/>
      <c r="F86" s="30"/>
      <c r="G86" s="2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3">
        <f>IF(D12=1,0,IF(D12=2,0,IF(D12=3,0,IF(D12=4,0,IF(D12=5,E12)))))</f>
        <v>1440</v>
      </c>
      <c r="C87" s="48" t="s">
        <v>21</v>
      </c>
      <c r="D87" s="7"/>
      <c r="E87" s="27"/>
      <c r="F87" s="30"/>
      <c r="G87" s="2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 t="s">
        <v>23</v>
      </c>
      <c r="B88" s="35" t="s">
        <v>24</v>
      </c>
      <c r="C88" s="45"/>
      <c r="D88" s="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>
        <v>1.0</v>
      </c>
      <c r="B89" s="36">
        <f>IFERROR(HLOOKUP(B88,'Payout Schedule'!$B$1:$M$13,A89+1,0),"")</f>
        <v>0.33</v>
      </c>
      <c r="C89" s="10">
        <f>IFERROR(B87*B89,"")</f>
        <v>475.2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>
        <v>2.0</v>
      </c>
      <c r="B90" s="36">
        <f>IFERROR(HLOOKUP(B88,'Payout Schedule'!$B$1:$M$13,A90+1,0),"")</f>
        <v>0.23</v>
      </c>
      <c r="C90" s="10">
        <f>IFERROR(B87*B90,"")</f>
        <v>331.2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>
        <v>3.0</v>
      </c>
      <c r="B91" s="36">
        <f>IFERROR(HLOOKUP(B88,'Payout Schedule'!$B$1:$M$13,A91+1,0),"")</f>
        <v>0.17</v>
      </c>
      <c r="C91" s="10">
        <f>IFERROR(B87*B91,"")</f>
        <v>244.8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>
        <v>4.0</v>
      </c>
      <c r="B92" s="36">
        <f>IFERROR(HLOOKUP(B88,'Payout Schedule'!$B$1:$M$13,A92+1,0),"")</f>
        <v>0.12</v>
      </c>
      <c r="C92" s="10">
        <f>IFERROR(B87*B92,"")</f>
        <v>172.8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>
        <v>5.0</v>
      </c>
      <c r="B93" s="36">
        <f>IFERROR(HLOOKUP(B88,'Payout Schedule'!$B$1:$M$13,A93+1,0),"")</f>
        <v>0.09</v>
      </c>
      <c r="C93" s="10">
        <f>IFERROR(B87*B93,"")</f>
        <v>129.6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>
        <v>6.0</v>
      </c>
      <c r="B94" s="36">
        <f>IFERROR(HLOOKUP(B88,'Payout Schedule'!$B$1:$M$13,A94+1,0),"")</f>
        <v>0.06</v>
      </c>
      <c r="C94" s="10">
        <f>IFERROR(B87*B94,"")</f>
        <v>86.4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>
        <v>7.0</v>
      </c>
      <c r="B95" s="36" t="str">
        <f>IFERROR(HLOOKUP(B88,'Payout Schedule'!$B$1:$M$13,A95+1,0),"")</f>
        <v/>
      </c>
      <c r="C95" s="10">
        <f>IFERROR(B87*B95,"")</f>
        <v>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>
        <v>8.0</v>
      </c>
      <c r="B96" s="36" t="str">
        <f>IFERROR(HLOOKUP(B88,'Payout Schedule'!$B$1:$M$13,A96+1,0),"")</f>
        <v/>
      </c>
      <c r="C96" s="10">
        <f>IFERROR(B87*B96,"")</f>
        <v>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>
        <v>9.0</v>
      </c>
      <c r="B97" s="36" t="str">
        <f>IFERROR(HLOOKUP(B88,'Payout Schedule'!$B$1:$M$13,A97+1,0),"")</f>
        <v/>
      </c>
      <c r="C97" s="10">
        <f>IFERROR(B87*B97,"")</f>
        <v>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>
        <v>10.0</v>
      </c>
      <c r="B98" s="36" t="str">
        <f>IFERROR(HLOOKUP(B88,'Payout Schedule'!$B$1:$M$13,A98+1,0),"")</f>
        <v/>
      </c>
      <c r="C98" s="10">
        <f>IFERROR(B87*B98,"")</f>
        <v>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>
        <v>11.0</v>
      </c>
      <c r="B99" s="36" t="str">
        <f>IFERROR(HLOOKUP(B88,'Payout Schedule'!$B$1:$M$13,A99+1,0),"")</f>
        <v/>
      </c>
      <c r="C99" s="10">
        <f>IFERROR(B87*B99,"")</f>
        <v>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>
        <v>12.0</v>
      </c>
      <c r="B100" s="36" t="str">
        <f>IFERROR(HLOOKUP(B88,'Payout Schedule'!$B$1:$M$13,A100+1,0),"")</f>
        <v/>
      </c>
      <c r="C100" s="10">
        <f>IFERROR(B87*B100,"")</f>
        <v>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14"/>
      <c r="C101" s="4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 t="s">
        <v>34</v>
      </c>
      <c r="B102" s="42">
        <f t="shared" ref="B102:C102" si="7">SUM(B89:B100)</f>
        <v>1</v>
      </c>
      <c r="C102" s="43">
        <f t="shared" si="7"/>
        <v>1440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4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4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12">
      <formula1>"1,2,3,4,5"</formula1>
    </dataValidation>
    <dataValidation type="list" allowBlank="1" showErrorMessage="1" sqref="B16 B34 B52 B70 B88">
      <formula1>'Payout Schedule'!$B$1:$M$1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3.63"/>
    <col customWidth="1" min="2" max="2" width="20.0"/>
    <col customWidth="1" min="3" max="5" width="32.13"/>
    <col customWidth="1" min="6" max="6" width="17.0"/>
    <col customWidth="1" min="7" max="7" width="19.5"/>
    <col customWidth="1" min="8" max="8" width="16.5"/>
    <col customWidth="1" min="9" max="9" width="17.5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0.0</v>
      </c>
      <c r="B2" s="5">
        <v>200.0</v>
      </c>
      <c r="C2" s="6">
        <v>90.0</v>
      </c>
      <c r="D2" s="7"/>
      <c r="E2" s="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D3" s="2" t="s">
        <v>3</v>
      </c>
      <c r="E3" s="8" t="s">
        <v>4</v>
      </c>
      <c r="F3" s="9" t="s">
        <v>5</v>
      </c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D4" s="10">
        <f>B2*C2</f>
        <v>18000</v>
      </c>
      <c r="E4" s="11">
        <f>D4*4%</f>
        <v>720</v>
      </c>
      <c r="F4" s="12">
        <f>D4-E4</f>
        <v>17280</v>
      </c>
      <c r="G4" s="2" t="s">
        <v>6</v>
      </c>
      <c r="H4" s="2"/>
      <c r="Q4" s="1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/>
      <c r="B5" s="14"/>
      <c r="C5" s="14"/>
      <c r="D5" s="14"/>
      <c r="F5" s="15" t="s">
        <v>7</v>
      </c>
      <c r="G5" s="18">
        <v>0.6</v>
      </c>
      <c r="H5" s="10">
        <f>F4*G5</f>
        <v>10368</v>
      </c>
      <c r="I5" s="15"/>
      <c r="Q5" s="1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14"/>
      <c r="C6" s="14"/>
      <c r="D6" s="14"/>
      <c r="F6" s="15" t="s">
        <v>8</v>
      </c>
      <c r="G6" s="18">
        <v>0.4</v>
      </c>
      <c r="H6" s="17">
        <f>F4*G6</f>
        <v>6912</v>
      </c>
      <c r="I6" s="15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/>
      <c r="B7" s="14"/>
      <c r="C7" s="14"/>
      <c r="D7" s="14"/>
      <c r="G7" s="18">
        <f t="shared" ref="G7:H7" si="1">SUM(G5:G6)</f>
        <v>1</v>
      </c>
      <c r="H7" s="10">
        <f t="shared" si="1"/>
        <v>17280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2" t="str">
        <f>F10</f>
        <v/>
      </c>
      <c r="C8" s="2" t="s">
        <v>9</v>
      </c>
      <c r="D8" s="2" t="s">
        <v>10</v>
      </c>
      <c r="E8" s="7"/>
      <c r="F8" s="2"/>
      <c r="G8" s="3"/>
      <c r="H8" s="3"/>
      <c r="I8" s="3"/>
      <c r="J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7">
        <f>H6</f>
        <v>6912</v>
      </c>
      <c r="C9" s="19">
        <v>0.0</v>
      </c>
      <c r="D9" s="20">
        <f>B9+C9</f>
        <v>6912</v>
      </c>
      <c r="E9" s="7"/>
      <c r="F9" s="14"/>
      <c r="G9" s="21" t="s">
        <v>11</v>
      </c>
      <c r="H9" s="22">
        <v>0.5</v>
      </c>
      <c r="I9" s="23">
        <f>H9*H5</f>
        <v>5184</v>
      </c>
      <c r="J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14"/>
      <c r="C10" s="14"/>
      <c r="D10" s="14"/>
      <c r="E10" s="14"/>
      <c r="F10" s="14"/>
      <c r="G10" s="21" t="s">
        <v>12</v>
      </c>
      <c r="H10" s="22">
        <v>0.5</v>
      </c>
      <c r="I10" s="23">
        <f>H10*H5</f>
        <v>5184</v>
      </c>
      <c r="J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2" t="s">
        <v>13</v>
      </c>
      <c r="C11" s="2" t="s">
        <v>14</v>
      </c>
      <c r="D11" s="2" t="s">
        <v>15</v>
      </c>
      <c r="E11" s="2" t="s">
        <v>16</v>
      </c>
      <c r="F11" s="14"/>
      <c r="G11" s="21"/>
      <c r="H11" s="24">
        <f t="shared" ref="H11:I11" si="2">SUM(H9:H10)</f>
        <v>1</v>
      </c>
      <c r="I11" s="13">
        <f t="shared" si="2"/>
        <v>10368</v>
      </c>
      <c r="J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25">
        <v>1000.0</v>
      </c>
      <c r="C12" s="26">
        <f>D9-B12</f>
        <v>5912</v>
      </c>
      <c r="D12" s="27">
        <v>5.0</v>
      </c>
      <c r="E12" s="28">
        <f>C12/D12</f>
        <v>1182.4</v>
      </c>
      <c r="F12" s="14"/>
      <c r="G12" s="3"/>
      <c r="H12" s="3"/>
      <c r="I12" s="13"/>
      <c r="J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29"/>
      <c r="C13" s="27"/>
      <c r="D13" s="27"/>
      <c r="E13" s="27"/>
      <c r="F13" s="30"/>
      <c r="G13" s="21" t="s">
        <v>17</v>
      </c>
      <c r="H13" s="21" t="s">
        <v>18</v>
      </c>
      <c r="I13" s="13" t="s">
        <v>19</v>
      </c>
      <c r="J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31" t="s">
        <v>20</v>
      </c>
      <c r="C14" s="27"/>
      <c r="D14" s="7"/>
      <c r="E14" s="32"/>
      <c r="F14" s="30"/>
      <c r="G14" s="23">
        <v>0.0</v>
      </c>
      <c r="H14" s="23">
        <f>I10-G14</f>
        <v>5184</v>
      </c>
      <c r="I14" s="23">
        <f>IF(OR(I9&lt;0, H14&lt;0), SUM(I9,H14), I9)
</f>
        <v>5184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33">
        <f>B12+E12</f>
        <v>2182.4</v>
      </c>
      <c r="C15" s="32" t="s">
        <v>21</v>
      </c>
      <c r="D15" s="34" t="s">
        <v>22</v>
      </c>
      <c r="E15" s="27"/>
      <c r="F15" s="30"/>
      <c r="G15" s="3"/>
      <c r="H15" s="3"/>
      <c r="I15" s="2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" t="s">
        <v>23</v>
      </c>
      <c r="B16" s="35" t="s">
        <v>39</v>
      </c>
      <c r="C16" s="1"/>
      <c r="D16" s="20">
        <f>sum(C30,C48,C66,C84,C102)</f>
        <v>6912</v>
      </c>
      <c r="E16" s="3"/>
      <c r="F16" s="3"/>
      <c r="G16" s="3"/>
      <c r="H16" s="3"/>
      <c r="I16" s="23" t="s">
        <v>25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">
        <v>1.0</v>
      </c>
      <c r="B17" s="36">
        <f>IFERROR(HLOOKUP(B16,'Payout Schedule'!$B$1:$M$13,A17+1,0),"")</f>
        <v>0.35</v>
      </c>
      <c r="C17" s="10">
        <f>IFERROR(B15*B17,"")</f>
        <v>763.84</v>
      </c>
      <c r="D17" s="3"/>
      <c r="E17" s="3"/>
      <c r="F17" s="3"/>
      <c r="G17" s="3"/>
      <c r="H17" s="3"/>
      <c r="I17" s="23">
        <f>IF(I10 &gt; G14, I10, G14)</f>
        <v>5184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">
        <v>2.0</v>
      </c>
      <c r="B18" s="36">
        <f>IFERROR(HLOOKUP(B16,'Payout Schedule'!$B$1:$M$13,A18+1,0),"")</f>
        <v>0.25</v>
      </c>
      <c r="C18" s="10">
        <f>IFERROR(B15*B18,"")</f>
        <v>545.6</v>
      </c>
      <c r="D18" s="3"/>
      <c r="E18" s="3"/>
      <c r="F18" s="3"/>
      <c r="G18" s="3"/>
      <c r="H18" s="3"/>
      <c r="I18" s="1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">
        <v>3.0</v>
      </c>
      <c r="B19" s="36">
        <f>IFERROR(HLOOKUP(B16,'Payout Schedule'!$B$1:$M$13,A19+1,0),"")</f>
        <v>0.19</v>
      </c>
      <c r="C19" s="10">
        <f>IFERROR(B15*B19,"")</f>
        <v>414.656</v>
      </c>
      <c r="D19" s="3"/>
      <c r="E19" s="3"/>
      <c r="F19" s="3"/>
      <c r="G19" s="3"/>
      <c r="H19" s="3"/>
      <c r="I19" s="21" t="s">
        <v>26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">
        <v>4.0</v>
      </c>
      <c r="B20" s="36">
        <f>IFERROR(HLOOKUP(B16,'Payout Schedule'!$B$1:$M$13,A20+1,0),"")</f>
        <v>0.14</v>
      </c>
      <c r="C20" s="10">
        <f>IFERROR(B15*B20,"")</f>
        <v>305.536</v>
      </c>
      <c r="D20" s="3"/>
      <c r="E20" s="3"/>
      <c r="F20" s="3"/>
      <c r="G20" s="21" t="s">
        <v>27</v>
      </c>
      <c r="H20" s="15" t="s">
        <v>28</v>
      </c>
      <c r="I20" s="23">
        <f>G21-I22</f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>
        <v>5.0</v>
      </c>
      <c r="B21" s="36">
        <f>IFERROR(HLOOKUP(B16,'Payout Schedule'!$B$1:$M$13,A21+1,0),"")</f>
        <v>0.07</v>
      </c>
      <c r="C21" s="10">
        <f>IFERROR(B15*B21,"")</f>
        <v>152.768</v>
      </c>
      <c r="D21" s="3"/>
      <c r="E21" s="3"/>
      <c r="F21" s="3"/>
      <c r="G21" s="23">
        <f>A2*B2</f>
        <v>0</v>
      </c>
      <c r="H21" s="37">
        <v>0.0</v>
      </c>
      <c r="I21" s="21" t="s">
        <v>29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>
        <v>6.0</v>
      </c>
      <c r="B22" s="36" t="str">
        <f>IFERROR(HLOOKUP(B16,'Payout Schedule'!$B$1:$M$13,A22+1,0),"")</f>
        <v/>
      </c>
      <c r="C22" s="10">
        <f>IFERROR(B15*B22,"")</f>
        <v>0</v>
      </c>
      <c r="D22" s="3"/>
      <c r="E22" s="3"/>
      <c r="F22" s="3"/>
      <c r="G22" s="3"/>
      <c r="H22" s="3"/>
      <c r="I22" s="23">
        <f>B2*H21</f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>
        <v>7.0</v>
      </c>
      <c r="B23" s="36" t="str">
        <f>IFERROR(HLOOKUP(B16,'Payout Schedule'!$B$1:$M$13,A23+1,0),"")</f>
        <v/>
      </c>
      <c r="C23" s="10">
        <f>IFERROR(B15*B23,"")</f>
        <v>0</v>
      </c>
      <c r="D23" s="3"/>
      <c r="E23" s="3"/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>
        <v>8.0</v>
      </c>
      <c r="B24" s="36" t="str">
        <f>IFERROR(HLOOKUP(B16,'Payout Schedule'!$B$1:$M$13,A24+1,0),"")</f>
        <v/>
      </c>
      <c r="C24" s="10">
        <f>IFERROR(B15*B24,"")</f>
        <v>0</v>
      </c>
      <c r="D24" s="3"/>
      <c r="E24" s="38" t="s">
        <v>30</v>
      </c>
      <c r="F24" s="3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>
        <v>9.0</v>
      </c>
      <c r="B25" s="36" t="str">
        <f>IFERROR(HLOOKUP(B16,'Payout Schedule'!$B$1:$M$13,A25+1,0),"")</f>
        <v/>
      </c>
      <c r="C25" s="10">
        <f>IFERROR(B15*B25,"")</f>
        <v>0</v>
      </c>
      <c r="D25" s="3"/>
      <c r="E25" s="40" t="s">
        <v>31</v>
      </c>
      <c r="F25" s="41">
        <f>D9</f>
        <v>6912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>
        <v>10.0</v>
      </c>
      <c r="B26" s="36" t="str">
        <f>IFERROR(HLOOKUP(B16,'Payout Schedule'!$B$1:$M$13,A26+1,0),"")</f>
        <v/>
      </c>
      <c r="C26" s="10">
        <f>IFERROR(B15*B26,"")</f>
        <v>0</v>
      </c>
      <c r="D26" s="3"/>
      <c r="E26" s="40" t="s">
        <v>32</v>
      </c>
      <c r="F26" s="41">
        <f>I22+I17</f>
        <v>5184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>
        <v>11.0</v>
      </c>
      <c r="B27" s="36" t="str">
        <f>IFERROR(HLOOKUP(B16,'Payout Schedule'!$B$1:$M$13,A27+1,0),"")</f>
        <v/>
      </c>
      <c r="C27" s="10">
        <f>IFERROR(B15*B27,"")</f>
        <v>0</v>
      </c>
      <c r="D27" s="3"/>
      <c r="E27" s="40" t="s">
        <v>33</v>
      </c>
      <c r="F27" s="41">
        <f>I9+I20</f>
        <v>5184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>
        <v>12.0</v>
      </c>
      <c r="B28" s="36" t="str">
        <f>IFERROR(HLOOKUP(B16,'Payout Schedule'!$B$1:$M$13,A28+1,0),"")</f>
        <v/>
      </c>
      <c r="C28" s="10">
        <f>IFERROR(B15*B28,"")</f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14"/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34</v>
      </c>
      <c r="B30" s="42">
        <f t="shared" ref="B30:C30" si="3">SUM(B17:B28)</f>
        <v>1</v>
      </c>
      <c r="C30" s="43">
        <f t="shared" si="3"/>
        <v>2182.4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1" t="s">
        <v>35</v>
      </c>
      <c r="C32" s="27"/>
      <c r="D32" s="7"/>
      <c r="E32" s="32"/>
      <c r="F32" s="30"/>
      <c r="G32" s="2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44">
        <f>IF(D12=1,0,IF(D12=2,E12,IF(D12=3,E12,IF(D12=4,E12,IF(D12=5,E12)))))</f>
        <v>1182.4</v>
      </c>
      <c r="C33" s="32" t="s">
        <v>21</v>
      </c>
      <c r="D33" s="7"/>
      <c r="E33" s="27"/>
      <c r="F33" s="30"/>
      <c r="G33" s="2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23</v>
      </c>
      <c r="B34" s="35" t="s">
        <v>39</v>
      </c>
      <c r="C34" s="1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>
        <v>1.0</v>
      </c>
      <c r="B35" s="36">
        <f>IFERROR(HLOOKUP(B34,'Payout Schedule'!$B$1:$M$13,A35+1,0),"")</f>
        <v>0.35</v>
      </c>
      <c r="C35" s="10">
        <f>IFERROR(B33*B35,"")</f>
        <v>413.84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>
        <v>2.0</v>
      </c>
      <c r="B36" s="36">
        <f>IFERROR(HLOOKUP(B34,'Payout Schedule'!$B$1:$M$13,A36+1,0),"")</f>
        <v>0.25</v>
      </c>
      <c r="C36" s="10">
        <f>IFERROR(B33*B36,"")</f>
        <v>295.6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>
        <v>3.0</v>
      </c>
      <c r="B37" s="36">
        <f>IFERROR(HLOOKUP(B34,'Payout Schedule'!$B$1:$M$13,A37+1,0),"")</f>
        <v>0.19</v>
      </c>
      <c r="C37" s="10">
        <f>IFERROR(B33*B37,"")</f>
        <v>224.656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>
        <v>4.0</v>
      </c>
      <c r="B38" s="36">
        <f>IFERROR(HLOOKUP(B34,'Payout Schedule'!$B$1:$M$13,A38+1,0),"")</f>
        <v>0.14</v>
      </c>
      <c r="C38" s="10">
        <f>IFERROR(B33*B38,"")</f>
        <v>165.536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>
        <v>5.0</v>
      </c>
      <c r="B39" s="36">
        <f>IFERROR(HLOOKUP(B34,'Payout Schedule'!$B$1:$M$13,A39+1,0),"")</f>
        <v>0.07</v>
      </c>
      <c r="C39" s="10">
        <f>IFERROR(B33*B39,"")</f>
        <v>82.768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>
        <v>6.0</v>
      </c>
      <c r="B40" s="36" t="str">
        <f>IFERROR(HLOOKUP(B34,'Payout Schedule'!$B$1:$M$13,A40+1,0),"")</f>
        <v/>
      </c>
      <c r="C40" s="10">
        <f>IFERROR(B33*B40,"")</f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>
        <v>7.0</v>
      </c>
      <c r="B41" s="36" t="str">
        <f>IFERROR(HLOOKUP(B34,'Payout Schedule'!$B$1:$M$13,A41+1,0),"")</f>
        <v/>
      </c>
      <c r="C41" s="10">
        <f>IFERROR(B33*B41,"")</f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>
        <v>8.0</v>
      </c>
      <c r="B42" s="36" t="str">
        <f>IFERROR(HLOOKUP(B34,'Payout Schedule'!$B$1:$M$13,A42+1,0),"")</f>
        <v/>
      </c>
      <c r="C42" s="10">
        <f>IFERROR(B33*B42,"")</f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>
        <v>9.0</v>
      </c>
      <c r="B43" s="36" t="str">
        <f>IFERROR(HLOOKUP(B34,'Payout Schedule'!$B$1:$M$13,A43+1,0),"")</f>
        <v/>
      </c>
      <c r="C43" s="10">
        <f>IFERROR(B33*B43,"")</f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>
        <v>10.0</v>
      </c>
      <c r="B44" s="36" t="str">
        <f>IFERROR(HLOOKUP(B34,'Payout Schedule'!$B$1:$M$13,A44+1,0),"")</f>
        <v/>
      </c>
      <c r="C44" s="10">
        <f>IFERROR(B33*B44,"")</f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>
        <v>11.0</v>
      </c>
      <c r="B45" s="36" t="str">
        <f>IFERROR(HLOOKUP(B34,'Payout Schedule'!$B$1:$M$13,A45+1,0),"")</f>
        <v/>
      </c>
      <c r="C45" s="10">
        <f>IFERROR(B33*B45,"")</f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>
        <v>12.0</v>
      </c>
      <c r="B46" s="36" t="str">
        <f>IFERROR(HLOOKUP(B34,'Payout Schedule'!$B$1:$M$13,A46+1,0),"")</f>
        <v/>
      </c>
      <c r="C46" s="10">
        <f>IFERROR(B33*B46,"")</f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14"/>
      <c r="C47" s="4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 t="s">
        <v>34</v>
      </c>
      <c r="B48" s="42">
        <f t="shared" ref="B48:C48" si="4">SUM(B35:B46)</f>
        <v>1</v>
      </c>
      <c r="C48" s="43">
        <f t="shared" si="4"/>
        <v>1182.4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4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1" t="s">
        <v>36</v>
      </c>
      <c r="C50" s="47"/>
      <c r="D50" s="7"/>
      <c r="E50" s="32"/>
      <c r="F50" s="30"/>
      <c r="G50" s="2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3">
        <f>IF(D12=1,0,IF(D12=2,0,IF(D12=3,E12,IF(D12=4,E12,IF(D12=5,E12)))))</f>
        <v>1182.4</v>
      </c>
      <c r="C51" s="48" t="s">
        <v>21</v>
      </c>
      <c r="D51" s="7"/>
      <c r="E51" s="27"/>
      <c r="F51" s="30"/>
      <c r="G51" s="2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 t="s">
        <v>23</v>
      </c>
      <c r="B52" s="35" t="s">
        <v>39</v>
      </c>
      <c r="C52" s="45"/>
      <c r="D52" s="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>
        <v>1.0</v>
      </c>
      <c r="B53" s="36">
        <f>IFERROR(HLOOKUP(B52,'Payout Schedule'!$B$1:$M$13,A53+1,0),"")</f>
        <v>0.35</v>
      </c>
      <c r="C53" s="10">
        <f>IFERROR(B51*B53,"")</f>
        <v>413.84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>
        <v>2.0</v>
      </c>
      <c r="B54" s="36">
        <f>IFERROR(HLOOKUP(B52,'Payout Schedule'!$B$1:$M$13,A54+1,0),"")</f>
        <v>0.25</v>
      </c>
      <c r="C54" s="10">
        <f>IFERROR(B51*B54,"")</f>
        <v>295.6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>
        <v>3.0</v>
      </c>
      <c r="B55" s="36">
        <f>IFERROR(HLOOKUP(B52,'Payout Schedule'!$B$1:$M$13,A55+1,0),"")</f>
        <v>0.19</v>
      </c>
      <c r="C55" s="10">
        <f>IFERROR(B51*B55,"")</f>
        <v>224.656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>
        <v>4.0</v>
      </c>
      <c r="B56" s="36">
        <f>IFERROR(HLOOKUP(B52,'Payout Schedule'!$B$1:$M$13,A56+1,0),"")</f>
        <v>0.14</v>
      </c>
      <c r="C56" s="10">
        <f>IFERROR(B51*B56,"")</f>
        <v>165.536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>
        <v>5.0</v>
      </c>
      <c r="B57" s="36">
        <f>IFERROR(HLOOKUP(B52,'Payout Schedule'!$B$1:$M$13,A57+1,0),"")</f>
        <v>0.07</v>
      </c>
      <c r="C57" s="10">
        <f>IFERROR(B51*B57,"")</f>
        <v>82.768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>
        <v>6.0</v>
      </c>
      <c r="B58" s="36" t="str">
        <f>IFERROR(HLOOKUP(B52,'Payout Schedule'!$B$1:$M$13,A58+1,0),"")</f>
        <v/>
      </c>
      <c r="C58" s="10">
        <f>IFERROR(B51*B58,"")</f>
        <v>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>
        <v>7.0</v>
      </c>
      <c r="B59" s="36" t="str">
        <f>IFERROR(HLOOKUP(B52,'Payout Schedule'!$B$1:$M$13,A59+1,0),"")</f>
        <v/>
      </c>
      <c r="C59" s="10">
        <f>IFERROR(B51*B59,"")</f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>
        <v>8.0</v>
      </c>
      <c r="B60" s="36" t="str">
        <f>IFERROR(HLOOKUP(B52,'Payout Schedule'!$B$1:$M$13,A60+1,0),"")</f>
        <v/>
      </c>
      <c r="C60" s="10">
        <f>IFERROR(B51*B60,"")</f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>
        <v>9.0</v>
      </c>
      <c r="B61" s="36" t="str">
        <f>IFERROR(HLOOKUP(B52,'Payout Schedule'!$B$1:$M$13,A61+1,0),"")</f>
        <v/>
      </c>
      <c r="C61" s="10">
        <f>IFERROR(B51*B61,"")</f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>
        <v>10.0</v>
      </c>
      <c r="B62" s="36" t="str">
        <f>IFERROR(HLOOKUP(B52,'Payout Schedule'!$B$1:$M$13,A62+1,0),"")</f>
        <v/>
      </c>
      <c r="C62" s="10">
        <f>IFERROR(B51*B62,"")</f>
        <v>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>
        <v>11.0</v>
      </c>
      <c r="B63" s="36" t="str">
        <f>IFERROR(HLOOKUP(B52,'Payout Schedule'!$B$1:$M$13,A63+1,0),"")</f>
        <v/>
      </c>
      <c r="C63" s="10">
        <f>IFERROR(B51*B63,"")</f>
        <v>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>
        <v>12.0</v>
      </c>
      <c r="B64" s="36" t="str">
        <f>IFERROR(HLOOKUP(B52,'Payout Schedule'!$B$1:$M$13,A64+1,0),"")</f>
        <v/>
      </c>
      <c r="C64" s="10">
        <f>IFERROR(B51*B64,"")</f>
        <v>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14"/>
      <c r="C65" s="4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 t="s">
        <v>34</v>
      </c>
      <c r="B66" s="42">
        <f t="shared" ref="B66:C66" si="5">SUM(B53:B64)</f>
        <v>1</v>
      </c>
      <c r="C66" s="43">
        <f t="shared" si="5"/>
        <v>1182.4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4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1" t="s">
        <v>37</v>
      </c>
      <c r="C68" s="47"/>
      <c r="D68" s="7"/>
      <c r="E68" s="32"/>
      <c r="F68" s="30"/>
      <c r="G68" s="27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3">
        <f>IF(D12=1,0,IF(D12=2,0,IF(D12=3,0,IF(D12=4,E12,IF(D12=5,E12)))))</f>
        <v>1182.4</v>
      </c>
      <c r="C69" s="48" t="s">
        <v>21</v>
      </c>
      <c r="D69" s="7"/>
      <c r="E69" s="27"/>
      <c r="F69" s="30"/>
      <c r="G69" s="27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 t="s">
        <v>23</v>
      </c>
      <c r="B70" s="35" t="s">
        <v>39</v>
      </c>
      <c r="C70" s="45"/>
      <c r="D70" s="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>
        <v>1.0</v>
      </c>
      <c r="B71" s="36">
        <f>IFERROR(HLOOKUP(B70,'Payout Schedule'!$B$1:$M$13,A71+1,0),"")</f>
        <v>0.35</v>
      </c>
      <c r="C71" s="10">
        <f>IFERROR(B69*B71,"")</f>
        <v>413.84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>
        <v>2.0</v>
      </c>
      <c r="B72" s="36">
        <f>IFERROR(HLOOKUP(B70,'Payout Schedule'!$B$1:$M$13,A72+1,0),"")</f>
        <v>0.25</v>
      </c>
      <c r="C72" s="10">
        <f>IFERROR(B69*B72,"")</f>
        <v>295.6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>
        <v>3.0</v>
      </c>
      <c r="B73" s="36">
        <f>IFERROR(HLOOKUP(B70,'Payout Schedule'!$B$1:$M$13,A73+1,0),"")</f>
        <v>0.19</v>
      </c>
      <c r="C73" s="10">
        <f>IFERROR(B69*B73,"")</f>
        <v>224.656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>
        <v>4.0</v>
      </c>
      <c r="B74" s="36">
        <f>IFERROR(HLOOKUP(B70,'Payout Schedule'!$B$1:$M$13,A74+1,0),"")</f>
        <v>0.14</v>
      </c>
      <c r="C74" s="10">
        <f>IFERROR(B69*B74,"")</f>
        <v>165.536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>
        <v>5.0</v>
      </c>
      <c r="B75" s="36">
        <f>IFERROR(HLOOKUP(B70,'Payout Schedule'!$B$1:$M$13,A75+1,0),"")</f>
        <v>0.07</v>
      </c>
      <c r="C75" s="10">
        <f>IFERROR(B69*B75,"")</f>
        <v>82.768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>
        <v>6.0</v>
      </c>
      <c r="B76" s="36" t="str">
        <f>IFERROR(HLOOKUP(B70,'Payout Schedule'!$B$1:$M$13,A76+1,0),"")</f>
        <v/>
      </c>
      <c r="C76" s="10">
        <f>IFERROR(B69*B76,"")</f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>
        <v>7.0</v>
      </c>
      <c r="B77" s="36" t="str">
        <f>IFERROR(HLOOKUP(B70,'Payout Schedule'!$B$1:$M$13,A77+1,0),"")</f>
        <v/>
      </c>
      <c r="C77" s="10">
        <f>IFERROR(B69*B77,"")</f>
        <v>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>
        <v>8.0</v>
      </c>
      <c r="B78" s="36" t="str">
        <f>IFERROR(HLOOKUP(B70,'Payout Schedule'!$B$1:$M$13,A78+1,0),"")</f>
        <v/>
      </c>
      <c r="C78" s="10">
        <f>IFERROR(B69*B78,"")</f>
        <v>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>
        <v>9.0</v>
      </c>
      <c r="B79" s="36" t="str">
        <f>IFERROR(HLOOKUP(B70,'Payout Schedule'!$B$1:$M$13,A79+1,0),"")</f>
        <v/>
      </c>
      <c r="C79" s="10">
        <f>IFERROR(B69*B79,"")</f>
        <v>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>
        <v>10.0</v>
      </c>
      <c r="B80" s="36" t="str">
        <f>IFERROR(HLOOKUP(B70,'Payout Schedule'!$B$1:$M$13,A80+1,0),"")</f>
        <v/>
      </c>
      <c r="C80" s="10">
        <f>IFERROR(B69*B80,"")</f>
        <v>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>
        <v>11.0</v>
      </c>
      <c r="B81" s="36" t="str">
        <f>IFERROR(HLOOKUP(B70,'Payout Schedule'!$B$1:$M$13,A81+1,0),"")</f>
        <v/>
      </c>
      <c r="C81" s="10">
        <f>IFERROR(B69*B81,"")</f>
        <v>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>
        <v>12.0</v>
      </c>
      <c r="B82" s="36" t="str">
        <f>IFERROR(HLOOKUP(B70,'Payout Schedule'!$B$1:$M$13,A82+1,0),"")</f>
        <v/>
      </c>
      <c r="C82" s="10">
        <f>IFERROR(B69*B82,"")</f>
        <v>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14"/>
      <c r="C83" s="4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 t="s">
        <v>34</v>
      </c>
      <c r="B84" s="42">
        <f t="shared" ref="B84:C84" si="6">SUM(B71:B82)</f>
        <v>1</v>
      </c>
      <c r="C84" s="43">
        <f t="shared" si="6"/>
        <v>1182.4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4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1" t="s">
        <v>38</v>
      </c>
      <c r="C86" s="47"/>
      <c r="D86" s="7"/>
      <c r="E86" s="32"/>
      <c r="F86" s="30"/>
      <c r="G86" s="2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3">
        <f>IF(D12=1,0,IF(D12=2,0,IF(D12=3,0,IF(D12=4,0,IF(D12=5,E12)))))</f>
        <v>1182.4</v>
      </c>
      <c r="C87" s="48" t="s">
        <v>21</v>
      </c>
      <c r="D87" s="7"/>
      <c r="E87" s="27"/>
      <c r="F87" s="30"/>
      <c r="G87" s="2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 t="s">
        <v>23</v>
      </c>
      <c r="B88" s="35" t="s">
        <v>39</v>
      </c>
      <c r="C88" s="45"/>
      <c r="D88" s="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>
        <v>1.0</v>
      </c>
      <c r="B89" s="36">
        <f>IFERROR(HLOOKUP(B88,'Payout Schedule'!$B$1:$M$13,A89+1,0),"")</f>
        <v>0.35</v>
      </c>
      <c r="C89" s="10">
        <f>IFERROR(B87*B89,"")</f>
        <v>413.84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>
        <v>2.0</v>
      </c>
      <c r="B90" s="36">
        <f>IFERROR(HLOOKUP(B88,'Payout Schedule'!$B$1:$M$13,A90+1,0),"")</f>
        <v>0.25</v>
      </c>
      <c r="C90" s="10">
        <f>IFERROR(B87*B90,"")</f>
        <v>295.6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>
        <v>3.0</v>
      </c>
      <c r="B91" s="36">
        <f>IFERROR(HLOOKUP(B88,'Payout Schedule'!$B$1:$M$13,A91+1,0),"")</f>
        <v>0.19</v>
      </c>
      <c r="C91" s="10">
        <f>IFERROR(B87*B91,"")</f>
        <v>224.656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>
        <v>4.0</v>
      </c>
      <c r="B92" s="36">
        <f>IFERROR(HLOOKUP(B88,'Payout Schedule'!$B$1:$M$13,A92+1,0),"")</f>
        <v>0.14</v>
      </c>
      <c r="C92" s="10">
        <f>IFERROR(B87*B92,"")</f>
        <v>165.536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>
        <v>5.0</v>
      </c>
      <c r="B93" s="36">
        <f>IFERROR(HLOOKUP(B88,'Payout Schedule'!$B$1:$M$13,A93+1,0),"")</f>
        <v>0.07</v>
      </c>
      <c r="C93" s="10">
        <f>IFERROR(B87*B93,"")</f>
        <v>82.768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>
        <v>6.0</v>
      </c>
      <c r="B94" s="36" t="str">
        <f>IFERROR(HLOOKUP(B88,'Payout Schedule'!$B$1:$M$13,A94+1,0),"")</f>
        <v/>
      </c>
      <c r="C94" s="10">
        <f>IFERROR(B87*B94,"")</f>
        <v>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>
        <v>7.0</v>
      </c>
      <c r="B95" s="36" t="str">
        <f>IFERROR(HLOOKUP(B88,'Payout Schedule'!$B$1:$M$13,A95+1,0),"")</f>
        <v/>
      </c>
      <c r="C95" s="10">
        <f>IFERROR(B87*B95,"")</f>
        <v>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>
        <v>8.0</v>
      </c>
      <c r="B96" s="36" t="str">
        <f>IFERROR(HLOOKUP(B88,'Payout Schedule'!$B$1:$M$13,A96+1,0),"")</f>
        <v/>
      </c>
      <c r="C96" s="10">
        <f>IFERROR(B87*B96,"")</f>
        <v>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>
        <v>9.0</v>
      </c>
      <c r="B97" s="36" t="str">
        <f>IFERROR(HLOOKUP(B88,'Payout Schedule'!$B$1:$M$13,A97+1,0),"")</f>
        <v/>
      </c>
      <c r="C97" s="10">
        <f>IFERROR(B87*B97,"")</f>
        <v>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>
        <v>10.0</v>
      </c>
      <c r="B98" s="36" t="str">
        <f>IFERROR(HLOOKUP(B88,'Payout Schedule'!$B$1:$M$13,A98+1,0),"")</f>
        <v/>
      </c>
      <c r="C98" s="10">
        <f>IFERROR(B87*B98,"")</f>
        <v>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>
        <v>11.0</v>
      </c>
      <c r="B99" s="36" t="str">
        <f>IFERROR(HLOOKUP(B88,'Payout Schedule'!$B$1:$M$13,A99+1,0),"")</f>
        <v/>
      </c>
      <c r="C99" s="10">
        <f>IFERROR(B87*B99,"")</f>
        <v>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>
        <v>12.0</v>
      </c>
      <c r="B100" s="36" t="str">
        <f>IFERROR(HLOOKUP(B88,'Payout Schedule'!$B$1:$M$13,A100+1,0),"")</f>
        <v/>
      </c>
      <c r="C100" s="10">
        <f>IFERROR(B87*B100,"")</f>
        <v>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14"/>
      <c r="C101" s="4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 t="s">
        <v>34</v>
      </c>
      <c r="B102" s="42">
        <f t="shared" ref="B102:C102" si="7">SUM(B89:B100)</f>
        <v>1</v>
      </c>
      <c r="C102" s="43">
        <f t="shared" si="7"/>
        <v>1182.4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4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4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12">
      <formula1>"1,2,3,4,5"</formula1>
    </dataValidation>
    <dataValidation type="list" allowBlank="1" showErrorMessage="1" sqref="B16 B34 B52 B70 B88">
      <formula1>'Payout Schedule'!$B$1:$M$1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3.63"/>
    <col customWidth="1" min="2" max="2" width="20.0"/>
    <col customWidth="1" min="3" max="5" width="32.13"/>
    <col customWidth="1" min="6" max="6" width="17.0"/>
    <col customWidth="1" min="7" max="7" width="19.5"/>
    <col customWidth="1" min="8" max="8" width="16.5"/>
    <col customWidth="1" min="9" max="9" width="17.5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7"/>
      <c r="C2" s="7"/>
      <c r="D2" s="7"/>
      <c r="E2" s="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0</v>
      </c>
      <c r="B3" s="2" t="s">
        <v>1</v>
      </c>
      <c r="C3" s="2" t="s">
        <v>2</v>
      </c>
      <c r="D3" s="2" t="s">
        <v>3</v>
      </c>
      <c r="E3" s="8" t="s">
        <v>4</v>
      </c>
      <c r="F3" s="9" t="s">
        <v>5</v>
      </c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0.0</v>
      </c>
      <c r="B4" s="49">
        <v>150.0</v>
      </c>
      <c r="C4" s="10">
        <v>90.0</v>
      </c>
      <c r="D4" s="10">
        <f>B4*C4</f>
        <v>13500</v>
      </c>
      <c r="E4" s="11">
        <f>D4*4%</f>
        <v>540</v>
      </c>
      <c r="F4" s="12">
        <f>D4-E4</f>
        <v>12960</v>
      </c>
      <c r="G4" s="2" t="s">
        <v>6</v>
      </c>
      <c r="H4" s="2"/>
      <c r="Q4" s="1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/>
      <c r="B5" s="14"/>
      <c r="C5" s="14"/>
      <c r="D5" s="14"/>
      <c r="F5" s="15" t="s">
        <v>7</v>
      </c>
      <c r="G5" s="16">
        <v>0.5</v>
      </c>
      <c r="H5" s="10">
        <f>F4*G5</f>
        <v>6480</v>
      </c>
      <c r="I5" s="15"/>
      <c r="Q5" s="1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14"/>
      <c r="C6" s="14"/>
      <c r="D6" s="14"/>
      <c r="F6" s="15" t="s">
        <v>8</v>
      </c>
      <c r="G6" s="16">
        <v>0.5</v>
      </c>
      <c r="H6" s="17">
        <f>F4*G6</f>
        <v>6480</v>
      </c>
      <c r="I6" s="15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/>
      <c r="B7" s="14"/>
      <c r="C7" s="14"/>
      <c r="D7" s="14"/>
      <c r="G7" s="18">
        <f t="shared" ref="G7:H7" si="1">SUM(G5:G6)</f>
        <v>1</v>
      </c>
      <c r="H7" s="10">
        <f t="shared" si="1"/>
        <v>12960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2" t="str">
        <f>F10</f>
        <v/>
      </c>
      <c r="C8" s="2" t="s">
        <v>9</v>
      </c>
      <c r="D8" s="2" t="s">
        <v>10</v>
      </c>
      <c r="E8" s="7"/>
      <c r="F8" s="2"/>
      <c r="G8" s="3"/>
      <c r="H8" s="3"/>
      <c r="I8" s="3"/>
      <c r="J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7">
        <f>H6</f>
        <v>6480</v>
      </c>
      <c r="C9" s="19">
        <v>0.0</v>
      </c>
      <c r="D9" s="20">
        <f>B9+C9</f>
        <v>6480</v>
      </c>
      <c r="E9" s="7"/>
      <c r="F9" s="14"/>
      <c r="G9" s="21" t="s">
        <v>11</v>
      </c>
      <c r="H9" s="22">
        <v>0.5</v>
      </c>
      <c r="I9" s="23">
        <f>H9*H5</f>
        <v>3240</v>
      </c>
      <c r="J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14"/>
      <c r="C10" s="14"/>
      <c r="D10" s="14"/>
      <c r="E10" s="14"/>
      <c r="F10" s="14"/>
      <c r="G10" s="21" t="s">
        <v>12</v>
      </c>
      <c r="H10" s="22">
        <v>0.5</v>
      </c>
      <c r="I10" s="23">
        <f>H10*H5</f>
        <v>3240</v>
      </c>
      <c r="J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2" t="s">
        <v>13</v>
      </c>
      <c r="C11" s="2" t="s">
        <v>14</v>
      </c>
      <c r="D11" s="2" t="s">
        <v>15</v>
      </c>
      <c r="E11" s="2" t="s">
        <v>16</v>
      </c>
      <c r="F11" s="14"/>
      <c r="G11" s="21"/>
      <c r="H11" s="24">
        <f>SUM(H9:H10)</f>
        <v>1</v>
      </c>
      <c r="I11" s="13"/>
      <c r="J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50">
        <v>1000.0</v>
      </c>
      <c r="C12" s="26">
        <f>D9-B12</f>
        <v>5480</v>
      </c>
      <c r="D12" s="27">
        <v>5.0</v>
      </c>
      <c r="E12" s="28">
        <f>C12/D12</f>
        <v>1096</v>
      </c>
      <c r="F12" s="14"/>
      <c r="G12" s="3"/>
      <c r="H12" s="3"/>
      <c r="I12" s="13"/>
      <c r="J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29"/>
      <c r="C13" s="27"/>
      <c r="D13" s="27"/>
      <c r="E13" s="27"/>
      <c r="F13" s="30"/>
      <c r="G13" s="21" t="s">
        <v>17</v>
      </c>
      <c r="H13" s="21" t="s">
        <v>18</v>
      </c>
      <c r="I13" s="13" t="s">
        <v>19</v>
      </c>
      <c r="J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31" t="s">
        <v>20</v>
      </c>
      <c r="C14" s="27"/>
      <c r="D14" s="7"/>
      <c r="E14" s="32"/>
      <c r="F14" s="30"/>
      <c r="G14" s="23">
        <v>0.0</v>
      </c>
      <c r="H14" s="23">
        <f>I10-G14</f>
        <v>3240</v>
      </c>
      <c r="I14" s="23">
        <f>IF(OR(I9&lt;0, H14&lt;0), SUM(I9,H14), I9)
</f>
        <v>3240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33">
        <f>B12+E12</f>
        <v>2096</v>
      </c>
      <c r="C15" s="32" t="s">
        <v>21</v>
      </c>
      <c r="D15" s="14" t="s">
        <v>22</v>
      </c>
      <c r="E15" s="27"/>
      <c r="F15" s="30"/>
      <c r="G15" s="3"/>
      <c r="H15" s="3"/>
      <c r="I15" s="2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" t="s">
        <v>23</v>
      </c>
      <c r="B16" s="51" t="s">
        <v>40</v>
      </c>
      <c r="C16" s="1"/>
      <c r="D16" s="20">
        <f>sum(C30,C48,C66,C84,C102)</f>
        <v>6480</v>
      </c>
      <c r="E16" s="3"/>
      <c r="F16" s="3"/>
      <c r="G16" s="3"/>
      <c r="H16" s="3"/>
      <c r="I16" s="23" t="s">
        <v>25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">
        <v>1.0</v>
      </c>
      <c r="B17" s="36">
        <f>IFERROR(HLOOKUP(B16,'Payout Schedule'!$B$1:$M$13,A17+1,0),"")</f>
        <v>0.3</v>
      </c>
      <c r="C17" s="10">
        <f>IFERROR(B15*B17,"")</f>
        <v>628.8</v>
      </c>
      <c r="D17" s="3"/>
      <c r="E17" s="3"/>
      <c r="F17" s="3"/>
      <c r="G17" s="3"/>
      <c r="H17" s="3"/>
      <c r="I17" s="23">
        <f>IF(I10 &gt; G14, I10, G14)</f>
        <v>3240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">
        <v>2.0</v>
      </c>
      <c r="B18" s="36">
        <f>IFERROR(HLOOKUP(B16,'Payout Schedule'!$B$1:$M$13,A18+1,0),"")</f>
        <v>0.21</v>
      </c>
      <c r="C18" s="10">
        <f>IFERROR(B15*B18,"")</f>
        <v>440.16</v>
      </c>
      <c r="D18" s="3"/>
      <c r="E18" s="3"/>
      <c r="F18" s="3"/>
      <c r="G18" s="3"/>
      <c r="H18" s="3"/>
      <c r="I18" s="1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">
        <v>3.0</v>
      </c>
      <c r="B19" s="36">
        <f>IFERROR(HLOOKUP(B16,'Payout Schedule'!$B$1:$M$13,A19+1,0),"")</f>
        <v>0.16</v>
      </c>
      <c r="C19" s="10">
        <f>IFERROR(B15*B19,"")</f>
        <v>335.36</v>
      </c>
      <c r="D19" s="3"/>
      <c r="E19" s="3"/>
      <c r="F19" s="3"/>
      <c r="G19" s="3"/>
      <c r="H19" s="3"/>
      <c r="I19" s="21" t="s">
        <v>26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">
        <v>4.0</v>
      </c>
      <c r="B20" s="36">
        <f>IFERROR(HLOOKUP(B16,'Payout Schedule'!$B$1:$M$13,A20+1,0),"")</f>
        <v>0.12</v>
      </c>
      <c r="C20" s="10">
        <f>IFERROR(B15*B20,"")</f>
        <v>251.52</v>
      </c>
      <c r="D20" s="3"/>
      <c r="E20" s="3"/>
      <c r="F20" s="3"/>
      <c r="G20" s="21" t="s">
        <v>27</v>
      </c>
      <c r="H20" s="15" t="s">
        <v>28</v>
      </c>
      <c r="I20" s="23">
        <f>G21-I22</f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>
        <v>5.0</v>
      </c>
      <c r="B21" s="36">
        <f>IFERROR(HLOOKUP(B16,'Payout Schedule'!$B$1:$M$13,A21+1,0),"")</f>
        <v>0.09</v>
      </c>
      <c r="C21" s="10">
        <f>IFERROR(B15*B21,"")</f>
        <v>188.64</v>
      </c>
      <c r="D21" s="3"/>
      <c r="E21" s="3"/>
      <c r="F21" s="3"/>
      <c r="G21" s="23">
        <f>A4*B4</f>
        <v>0</v>
      </c>
      <c r="H21" s="37">
        <v>0.0</v>
      </c>
      <c r="I21" s="21" t="s">
        <v>29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>
        <v>6.0</v>
      </c>
      <c r="B22" s="36">
        <f>IFERROR(HLOOKUP(B16,'Payout Schedule'!$B$1:$M$13,A22+1,0),"")</f>
        <v>0.07</v>
      </c>
      <c r="C22" s="10">
        <f>IFERROR(B15*B22,"")</f>
        <v>146.72</v>
      </c>
      <c r="D22" s="3"/>
      <c r="E22" s="3"/>
      <c r="F22" s="3"/>
      <c r="G22" s="3"/>
      <c r="H22" s="3"/>
      <c r="I22" s="23">
        <f>B4*H21</f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>
        <v>7.0</v>
      </c>
      <c r="B23" s="36">
        <f>IFERROR(HLOOKUP(B16,'Payout Schedule'!$B$1:$M$13,A23+1,0),"")</f>
        <v>0.05</v>
      </c>
      <c r="C23" s="10">
        <f>IFERROR(B15*B23,"")</f>
        <v>104.8</v>
      </c>
      <c r="D23" s="3"/>
      <c r="E23" s="3"/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>
        <v>8.0</v>
      </c>
      <c r="B24" s="36" t="str">
        <f>IFERROR(HLOOKUP(B16,'Payout Schedule'!$B$1:$M$13,A24+1,0),"")</f>
        <v/>
      </c>
      <c r="C24" s="10">
        <f>IFERROR(B15*B24,"")</f>
        <v>0</v>
      </c>
      <c r="D24" s="3"/>
      <c r="E24" s="38" t="s">
        <v>30</v>
      </c>
      <c r="F24" s="3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>
        <v>9.0</v>
      </c>
      <c r="B25" s="36" t="str">
        <f>IFERROR(HLOOKUP(B16,'Payout Schedule'!$B$1:$M$13,A25+1,0),"")</f>
        <v/>
      </c>
      <c r="C25" s="10">
        <f>IFERROR(B15*B25,"")</f>
        <v>0</v>
      </c>
      <c r="D25" s="3"/>
      <c r="E25" s="40" t="s">
        <v>31</v>
      </c>
      <c r="F25" s="41">
        <f>D9</f>
        <v>6480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>
        <v>10.0</v>
      </c>
      <c r="B26" s="36" t="str">
        <f>IFERROR(HLOOKUP(B16,'Payout Schedule'!$B$1:$M$13,A26+1,0),"")</f>
        <v/>
      </c>
      <c r="C26" s="10">
        <f>IFERROR(B15*B26,"")</f>
        <v>0</v>
      </c>
      <c r="D26" s="3"/>
      <c r="E26" s="40" t="s">
        <v>32</v>
      </c>
      <c r="F26" s="41">
        <f>I22+I17</f>
        <v>3240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>
        <v>11.0</v>
      </c>
      <c r="B27" s="36" t="str">
        <f>IFERROR(HLOOKUP(B16,'Payout Schedule'!$B$1:$M$13,A27+1,0),"")</f>
        <v/>
      </c>
      <c r="C27" s="10">
        <f>IFERROR(B15*B27,"")</f>
        <v>0</v>
      </c>
      <c r="D27" s="3"/>
      <c r="E27" s="40" t="s">
        <v>33</v>
      </c>
      <c r="F27" s="41">
        <f>I9+I20</f>
        <v>3240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>
        <v>12.0</v>
      </c>
      <c r="B28" s="36" t="str">
        <f>IFERROR(HLOOKUP(B16,'Payout Schedule'!$B$1:$M$13,A28+1,0),"")</f>
        <v/>
      </c>
      <c r="C28" s="10">
        <f>IFERROR(B15*B28,"")</f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14"/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34</v>
      </c>
      <c r="B30" s="42">
        <f t="shared" ref="B30:C30" si="2">SUM(B17:B28)</f>
        <v>1</v>
      </c>
      <c r="C30" s="43">
        <f t="shared" si="2"/>
        <v>2096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1" t="s">
        <v>35</v>
      </c>
      <c r="C32" s="27"/>
      <c r="D32" s="7"/>
      <c r="E32" s="32"/>
      <c r="F32" s="30"/>
      <c r="G32" s="2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44">
        <f>IF(D12=1,0,IF(D12=2,E12,IF(D12=3,E12,IF(D12=4,E12,IF(D12=5,E12)))))</f>
        <v>1096</v>
      </c>
      <c r="C33" s="32" t="s">
        <v>21</v>
      </c>
      <c r="D33" s="7"/>
      <c r="E33" s="27"/>
      <c r="F33" s="30"/>
      <c r="G33" s="2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23</v>
      </c>
      <c r="B34" s="51" t="s">
        <v>40</v>
      </c>
      <c r="C34" s="1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>
        <v>1.0</v>
      </c>
      <c r="B35" s="36">
        <f>IFERROR(HLOOKUP(B34,'Payout Schedule'!$B$1:$M$13,A35+1,0),"")</f>
        <v>0.3</v>
      </c>
      <c r="C35" s="10">
        <f>IFERROR(B33*B35,"")</f>
        <v>328.8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>
        <v>2.0</v>
      </c>
      <c r="B36" s="36">
        <f>IFERROR(HLOOKUP(B34,'Payout Schedule'!$B$1:$M$13,A36+1,0),"")</f>
        <v>0.21</v>
      </c>
      <c r="C36" s="10">
        <f>IFERROR(B33*B36,"")</f>
        <v>230.16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>
        <v>3.0</v>
      </c>
      <c r="B37" s="36">
        <f>IFERROR(HLOOKUP(B34,'Payout Schedule'!$B$1:$M$13,A37+1,0),"")</f>
        <v>0.16</v>
      </c>
      <c r="C37" s="10">
        <f>IFERROR(B33*B37,"")</f>
        <v>175.36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>
        <v>4.0</v>
      </c>
      <c r="B38" s="36">
        <f>IFERROR(HLOOKUP(B34,'Payout Schedule'!$B$1:$M$13,A38+1,0),"")</f>
        <v>0.12</v>
      </c>
      <c r="C38" s="10">
        <f>IFERROR(B33*B38,"")</f>
        <v>131.52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>
        <v>5.0</v>
      </c>
      <c r="B39" s="36">
        <f>IFERROR(HLOOKUP(B34,'Payout Schedule'!$B$1:$M$13,A39+1,0),"")</f>
        <v>0.09</v>
      </c>
      <c r="C39" s="10">
        <f>IFERROR(B33*B39,"")</f>
        <v>98.64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>
        <v>6.0</v>
      </c>
      <c r="B40" s="36">
        <f>IFERROR(HLOOKUP(B34,'Payout Schedule'!$B$1:$M$13,A40+1,0),"")</f>
        <v>0.07</v>
      </c>
      <c r="C40" s="10">
        <f>IFERROR(B33*B40,"")</f>
        <v>76.72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>
        <v>7.0</v>
      </c>
      <c r="B41" s="36">
        <f>IFERROR(HLOOKUP(B34,'Payout Schedule'!$B$1:$M$13,A41+1,0),"")</f>
        <v>0.05</v>
      </c>
      <c r="C41" s="10">
        <f>IFERROR(B33*B41,"")</f>
        <v>54.8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>
        <v>8.0</v>
      </c>
      <c r="B42" s="36" t="str">
        <f>IFERROR(HLOOKUP(B34,'Payout Schedule'!$B$1:$M$13,A42+1,0),"")</f>
        <v/>
      </c>
      <c r="C42" s="10">
        <f>IFERROR(B33*B42,"")</f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>
        <v>9.0</v>
      </c>
      <c r="B43" s="36" t="str">
        <f>IFERROR(HLOOKUP(B34,'Payout Schedule'!$B$1:$M$13,A43+1,0),"")</f>
        <v/>
      </c>
      <c r="C43" s="10">
        <f>IFERROR(B33*B43,"")</f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>
        <v>10.0</v>
      </c>
      <c r="B44" s="36" t="str">
        <f>IFERROR(HLOOKUP(B34,'Payout Schedule'!$B$1:$M$13,A44+1,0),"")</f>
        <v/>
      </c>
      <c r="C44" s="10">
        <f>IFERROR(B33*B44,"")</f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>
        <v>11.0</v>
      </c>
      <c r="B45" s="36" t="str">
        <f>IFERROR(HLOOKUP(B34,'Payout Schedule'!$B$1:$M$13,A45+1,0),"")</f>
        <v/>
      </c>
      <c r="C45" s="10">
        <f>IFERROR(B33*B45,"")</f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>
        <v>12.0</v>
      </c>
      <c r="B46" s="36" t="str">
        <f>IFERROR(HLOOKUP(B34,'Payout Schedule'!$B$1:$M$13,A46+1,0),"")</f>
        <v/>
      </c>
      <c r="C46" s="10">
        <f>IFERROR(B33*B46,"")</f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14"/>
      <c r="C47" s="4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 t="s">
        <v>34</v>
      </c>
      <c r="B48" s="42">
        <f t="shared" ref="B48:C48" si="3">SUM(B35:B46)</f>
        <v>1</v>
      </c>
      <c r="C48" s="43">
        <f t="shared" si="3"/>
        <v>1096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4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1" t="s">
        <v>36</v>
      </c>
      <c r="C50" s="47"/>
      <c r="D50" s="7"/>
      <c r="E50" s="32"/>
      <c r="F50" s="30"/>
      <c r="G50" s="2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3">
        <f>IF(D12=1,0,IF(D12=2,0,IF(D12=3,E12,IF(D12=4,E12,IF(D12=5,E12)))))</f>
        <v>1096</v>
      </c>
      <c r="C51" s="48" t="s">
        <v>21</v>
      </c>
      <c r="D51" s="7"/>
      <c r="E51" s="27"/>
      <c r="F51" s="30"/>
      <c r="G51" s="2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 t="s">
        <v>23</v>
      </c>
      <c r="B52" s="51" t="s">
        <v>40</v>
      </c>
      <c r="C52" s="45"/>
      <c r="D52" s="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>
        <v>1.0</v>
      </c>
      <c r="B53" s="36">
        <f>IFERROR(HLOOKUP(B52,'Payout Schedule'!$B$1:$M$13,A53+1,0),"")</f>
        <v>0.3</v>
      </c>
      <c r="C53" s="10">
        <f>IFERROR(B51*B53,"")</f>
        <v>328.8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>
        <v>2.0</v>
      </c>
      <c r="B54" s="36">
        <f>IFERROR(HLOOKUP(B52,'Payout Schedule'!$B$1:$M$13,A54+1,0),"")</f>
        <v>0.21</v>
      </c>
      <c r="C54" s="10">
        <f>IFERROR(B51*B54,"")</f>
        <v>230.16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>
        <v>3.0</v>
      </c>
      <c r="B55" s="36">
        <f>IFERROR(HLOOKUP(B52,'Payout Schedule'!$B$1:$M$13,A55+1,0),"")</f>
        <v>0.16</v>
      </c>
      <c r="C55" s="10">
        <f>IFERROR(B51*B55,"")</f>
        <v>175.36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>
        <v>4.0</v>
      </c>
      <c r="B56" s="36">
        <f>IFERROR(HLOOKUP(B52,'Payout Schedule'!$B$1:$M$13,A56+1,0),"")</f>
        <v>0.12</v>
      </c>
      <c r="C56" s="10">
        <f>IFERROR(B51*B56,"")</f>
        <v>131.52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>
        <v>5.0</v>
      </c>
      <c r="B57" s="36">
        <f>IFERROR(HLOOKUP(B52,'Payout Schedule'!$B$1:$M$13,A57+1,0),"")</f>
        <v>0.09</v>
      </c>
      <c r="C57" s="10">
        <f>IFERROR(B51*B57,"")</f>
        <v>98.64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>
        <v>6.0</v>
      </c>
      <c r="B58" s="36">
        <f>IFERROR(HLOOKUP(B52,'Payout Schedule'!$B$1:$M$13,A58+1,0),"")</f>
        <v>0.07</v>
      </c>
      <c r="C58" s="10">
        <f>IFERROR(B51*B58,"")</f>
        <v>76.72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>
        <v>7.0</v>
      </c>
      <c r="B59" s="36">
        <f>IFERROR(HLOOKUP(B52,'Payout Schedule'!$B$1:$M$13,A59+1,0),"")</f>
        <v>0.05</v>
      </c>
      <c r="C59" s="10">
        <f>IFERROR(B51*B59,"")</f>
        <v>54.8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>
        <v>8.0</v>
      </c>
      <c r="B60" s="36" t="str">
        <f>IFERROR(HLOOKUP(B52,'Payout Schedule'!$B$1:$M$13,A60+1,0),"")</f>
        <v/>
      </c>
      <c r="C60" s="10">
        <f>IFERROR(B51*B60,"")</f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>
        <v>9.0</v>
      </c>
      <c r="B61" s="36" t="str">
        <f>IFERROR(HLOOKUP(B52,'Payout Schedule'!$B$1:$M$13,A61+1,0),"")</f>
        <v/>
      </c>
      <c r="C61" s="10">
        <f>IFERROR(B51*B61,"")</f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>
        <v>10.0</v>
      </c>
      <c r="B62" s="36" t="str">
        <f>IFERROR(HLOOKUP(B52,'Payout Schedule'!$B$1:$M$13,A62+1,0),"")</f>
        <v/>
      </c>
      <c r="C62" s="10">
        <f>IFERROR(B51*B62,"")</f>
        <v>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>
        <v>11.0</v>
      </c>
      <c r="B63" s="36" t="str">
        <f>IFERROR(HLOOKUP(B52,'Payout Schedule'!$B$1:$M$13,A63+1,0),"")</f>
        <v/>
      </c>
      <c r="C63" s="10">
        <f>IFERROR(B51*B63,"")</f>
        <v>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>
        <v>12.0</v>
      </c>
      <c r="B64" s="36" t="str">
        <f>IFERROR(HLOOKUP(B52,'Payout Schedule'!$B$1:$M$13,A64+1,0),"")</f>
        <v/>
      </c>
      <c r="C64" s="10">
        <f>IFERROR(B51*B64,"")</f>
        <v>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14"/>
      <c r="C65" s="4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 t="s">
        <v>34</v>
      </c>
      <c r="B66" s="42">
        <f t="shared" ref="B66:C66" si="4">SUM(B53:B64)</f>
        <v>1</v>
      </c>
      <c r="C66" s="43">
        <f t="shared" si="4"/>
        <v>1096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4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1" t="s">
        <v>37</v>
      </c>
      <c r="C68" s="47"/>
      <c r="D68" s="7"/>
      <c r="E68" s="32"/>
      <c r="F68" s="30"/>
      <c r="G68" s="27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3">
        <f>IF(D12=1,0,IF(D12=2,0,IF(D12=3,0,IF(D12=4,E12,IF(D12=5,E12)))))</f>
        <v>1096</v>
      </c>
      <c r="C69" s="48" t="s">
        <v>21</v>
      </c>
      <c r="D69" s="7"/>
      <c r="E69" s="27"/>
      <c r="F69" s="30"/>
      <c r="G69" s="27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 t="s">
        <v>23</v>
      </c>
      <c r="B70" s="51" t="s">
        <v>40</v>
      </c>
      <c r="C70" s="45"/>
      <c r="D70" s="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>
        <v>1.0</v>
      </c>
      <c r="B71" s="36">
        <f>IFERROR(HLOOKUP(B70,'Payout Schedule'!$B$1:$M$13,A71+1,0),"")</f>
        <v>0.3</v>
      </c>
      <c r="C71" s="10">
        <f>IFERROR(B69*B71,"")</f>
        <v>328.8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>
        <v>2.0</v>
      </c>
      <c r="B72" s="36">
        <f>IFERROR(HLOOKUP(B70,'Payout Schedule'!$B$1:$M$13,A72+1,0),"")</f>
        <v>0.21</v>
      </c>
      <c r="C72" s="10">
        <f>IFERROR(B69*B72,"")</f>
        <v>230.16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>
        <v>3.0</v>
      </c>
      <c r="B73" s="36">
        <f>IFERROR(HLOOKUP(B70,'Payout Schedule'!$B$1:$M$13,A73+1,0),"")</f>
        <v>0.16</v>
      </c>
      <c r="C73" s="10">
        <f>IFERROR(B69*B73,"")</f>
        <v>175.36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>
        <v>4.0</v>
      </c>
      <c r="B74" s="36">
        <f>IFERROR(HLOOKUP(B70,'Payout Schedule'!$B$1:$M$13,A74+1,0),"")</f>
        <v>0.12</v>
      </c>
      <c r="C74" s="10">
        <f>IFERROR(B69*B74,"")</f>
        <v>131.52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>
        <v>5.0</v>
      </c>
      <c r="B75" s="36">
        <f>IFERROR(HLOOKUP(B70,'Payout Schedule'!$B$1:$M$13,A75+1,0),"")</f>
        <v>0.09</v>
      </c>
      <c r="C75" s="10">
        <f>IFERROR(B69*B75,"")</f>
        <v>98.64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>
        <v>6.0</v>
      </c>
      <c r="B76" s="36">
        <f>IFERROR(HLOOKUP(B70,'Payout Schedule'!$B$1:$M$13,A76+1,0),"")</f>
        <v>0.07</v>
      </c>
      <c r="C76" s="10">
        <f>IFERROR(B69*B76,"")</f>
        <v>76.72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>
        <v>7.0</v>
      </c>
      <c r="B77" s="36">
        <f>IFERROR(HLOOKUP(B70,'Payout Schedule'!$B$1:$M$13,A77+1,0),"")</f>
        <v>0.05</v>
      </c>
      <c r="C77" s="10">
        <f>IFERROR(B69*B77,"")</f>
        <v>54.8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>
        <v>8.0</v>
      </c>
      <c r="B78" s="36" t="str">
        <f>IFERROR(HLOOKUP(B70,'Payout Schedule'!$B$1:$M$13,A78+1,0),"")</f>
        <v/>
      </c>
      <c r="C78" s="10">
        <f>IFERROR(B69*B78,"")</f>
        <v>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>
        <v>9.0</v>
      </c>
      <c r="B79" s="36" t="str">
        <f>IFERROR(HLOOKUP(B70,'Payout Schedule'!$B$1:$M$13,A79+1,0),"")</f>
        <v/>
      </c>
      <c r="C79" s="10">
        <f>IFERROR(B69*B79,"")</f>
        <v>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>
        <v>10.0</v>
      </c>
      <c r="B80" s="36" t="str">
        <f>IFERROR(HLOOKUP(B70,'Payout Schedule'!$B$1:$M$13,A80+1,0),"")</f>
        <v/>
      </c>
      <c r="C80" s="10">
        <f>IFERROR(B69*B80,"")</f>
        <v>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>
        <v>11.0</v>
      </c>
      <c r="B81" s="36" t="str">
        <f>IFERROR(HLOOKUP(B70,'Payout Schedule'!$B$1:$M$13,A81+1,0),"")</f>
        <v/>
      </c>
      <c r="C81" s="10">
        <f>IFERROR(B69*B81,"")</f>
        <v>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>
        <v>12.0</v>
      </c>
      <c r="B82" s="36" t="str">
        <f>IFERROR(HLOOKUP(B70,'Payout Schedule'!$B$1:$M$13,A82+1,0),"")</f>
        <v/>
      </c>
      <c r="C82" s="10">
        <f>IFERROR(B69*B82,"")</f>
        <v>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14"/>
      <c r="C83" s="4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 t="s">
        <v>34</v>
      </c>
      <c r="B84" s="42">
        <f t="shared" ref="B84:C84" si="5">SUM(B71:B82)</f>
        <v>1</v>
      </c>
      <c r="C84" s="43">
        <f t="shared" si="5"/>
        <v>1096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4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1" t="s">
        <v>38</v>
      </c>
      <c r="C86" s="47"/>
      <c r="D86" s="7"/>
      <c r="E86" s="32"/>
      <c r="F86" s="30"/>
      <c r="G86" s="2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3">
        <f>IF(D12=1,0,IF(D12=2,0,IF(D12=3,0,IF(D12=4,0,IF(D12=5,E12)))))</f>
        <v>1096</v>
      </c>
      <c r="C87" s="48" t="s">
        <v>21</v>
      </c>
      <c r="D87" s="7"/>
      <c r="E87" s="27"/>
      <c r="F87" s="30"/>
      <c r="G87" s="2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 t="s">
        <v>23</v>
      </c>
      <c r="B88" s="51" t="s">
        <v>40</v>
      </c>
      <c r="C88" s="45"/>
      <c r="D88" s="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>
        <v>1.0</v>
      </c>
      <c r="B89" s="36">
        <f>IFERROR(HLOOKUP(B88,'Payout Schedule'!$B$1:$M$13,A89+1,0),"")</f>
        <v>0.3</v>
      </c>
      <c r="C89" s="10">
        <f>IFERROR(B87*B89,"")</f>
        <v>328.8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>
        <v>2.0</v>
      </c>
      <c r="B90" s="36">
        <f>IFERROR(HLOOKUP(B88,'Payout Schedule'!$B$1:$M$13,A90+1,0),"")</f>
        <v>0.21</v>
      </c>
      <c r="C90" s="10">
        <f>IFERROR(B87*B90,"")</f>
        <v>230.16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>
        <v>3.0</v>
      </c>
      <c r="B91" s="36">
        <f>IFERROR(HLOOKUP(B88,'Payout Schedule'!$B$1:$M$13,A91+1,0),"")</f>
        <v>0.16</v>
      </c>
      <c r="C91" s="10">
        <f>IFERROR(B87*B91,"")</f>
        <v>175.36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>
        <v>4.0</v>
      </c>
      <c r="B92" s="36">
        <f>IFERROR(HLOOKUP(B88,'Payout Schedule'!$B$1:$M$13,A92+1,0),"")</f>
        <v>0.12</v>
      </c>
      <c r="C92" s="10">
        <f>IFERROR(B87*B92,"")</f>
        <v>131.52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>
        <v>5.0</v>
      </c>
      <c r="B93" s="36">
        <f>IFERROR(HLOOKUP(B88,'Payout Schedule'!$B$1:$M$13,A93+1,0),"")</f>
        <v>0.09</v>
      </c>
      <c r="C93" s="10">
        <f>IFERROR(B87*B93,"")</f>
        <v>98.64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>
        <v>6.0</v>
      </c>
      <c r="B94" s="36">
        <f>IFERROR(HLOOKUP(B88,'Payout Schedule'!$B$1:$M$13,A94+1,0),"")</f>
        <v>0.07</v>
      </c>
      <c r="C94" s="10">
        <f>IFERROR(B87*B94,"")</f>
        <v>76.72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>
        <v>7.0</v>
      </c>
      <c r="B95" s="36">
        <f>IFERROR(HLOOKUP(B88,'Payout Schedule'!$B$1:$M$13,A95+1,0),"")</f>
        <v>0.05</v>
      </c>
      <c r="C95" s="10">
        <f>IFERROR(B87*B95,"")</f>
        <v>54.8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>
        <v>8.0</v>
      </c>
      <c r="B96" s="36" t="str">
        <f>IFERROR(HLOOKUP(B88,'Payout Schedule'!$B$1:$M$13,A96+1,0),"")</f>
        <v/>
      </c>
      <c r="C96" s="10">
        <f>IFERROR(B87*B96,"")</f>
        <v>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>
        <v>9.0</v>
      </c>
      <c r="B97" s="36" t="str">
        <f>IFERROR(HLOOKUP(B88,'Payout Schedule'!$B$1:$M$13,A97+1,0),"")</f>
        <v/>
      </c>
      <c r="C97" s="10">
        <f>IFERROR(B87*B97,"")</f>
        <v>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>
        <v>10.0</v>
      </c>
      <c r="B98" s="36" t="str">
        <f>IFERROR(HLOOKUP(B88,'Payout Schedule'!$B$1:$M$13,A98+1,0),"")</f>
        <v/>
      </c>
      <c r="C98" s="10">
        <f>IFERROR(B87*B98,"")</f>
        <v>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>
        <v>11.0</v>
      </c>
      <c r="B99" s="36" t="str">
        <f>IFERROR(HLOOKUP(B88,'Payout Schedule'!$B$1:$M$13,A99+1,0),"")</f>
        <v/>
      </c>
      <c r="C99" s="10">
        <f>IFERROR(B87*B99,"")</f>
        <v>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>
        <v>12.0</v>
      </c>
      <c r="B100" s="36" t="str">
        <f>IFERROR(HLOOKUP(B88,'Payout Schedule'!$B$1:$M$13,A100+1,0),"")</f>
        <v/>
      </c>
      <c r="C100" s="10">
        <f>IFERROR(B87*B100,"")</f>
        <v>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14"/>
      <c r="C101" s="4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 t="s">
        <v>34</v>
      </c>
      <c r="B102" s="42">
        <f t="shared" ref="B102:C102" si="6">SUM(B89:B100)</f>
        <v>1</v>
      </c>
      <c r="C102" s="43">
        <f t="shared" si="6"/>
        <v>1096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4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4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12">
      <formula1>"1,2,3,4,5"</formula1>
    </dataValidation>
    <dataValidation type="list" allowBlank="1" showErrorMessage="1" sqref="B16 B34 B52 B70 B88">
      <formula1>'Payout Schedule'!$B$1:$M$1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88"/>
    <col customWidth="1" min="3" max="3" width="24.88"/>
    <col customWidth="1" min="4" max="4" width="25.0"/>
    <col customWidth="1" min="5" max="5" width="27.25"/>
  </cols>
  <sheetData>
    <row r="1">
      <c r="A1" s="52"/>
      <c r="B1" s="53"/>
      <c r="C1" s="53"/>
      <c r="D1" s="53"/>
      <c r="E1" s="53"/>
      <c r="F1" s="53"/>
    </row>
    <row r="2">
      <c r="A2" s="54"/>
      <c r="B2" s="55" t="s">
        <v>41</v>
      </c>
      <c r="E2" s="56"/>
      <c r="F2" s="57"/>
    </row>
    <row r="3">
      <c r="A3" s="54"/>
      <c r="E3" s="56"/>
      <c r="F3" s="57"/>
    </row>
    <row r="4">
      <c r="A4" s="54"/>
      <c r="B4" s="58"/>
      <c r="C4" s="58"/>
      <c r="D4" s="58"/>
      <c r="E4" s="59"/>
      <c r="F4" s="57"/>
    </row>
    <row r="5">
      <c r="A5" s="54"/>
      <c r="B5" s="57"/>
      <c r="C5" s="57"/>
      <c r="D5" s="57"/>
      <c r="E5" s="57"/>
      <c r="F5" s="57"/>
    </row>
    <row r="6">
      <c r="A6" s="54"/>
      <c r="B6" s="60" t="s">
        <v>34</v>
      </c>
      <c r="C6" s="61">
        <f t="shared" ref="C6:E6" si="1">SUMIF($B:$B, "Subtotal", C:C)</f>
        <v>0</v>
      </c>
      <c r="D6" s="61">
        <f t="shared" si="1"/>
        <v>0</v>
      </c>
      <c r="E6" s="61">
        <f t="shared" si="1"/>
        <v>0</v>
      </c>
      <c r="F6" s="57"/>
    </row>
    <row r="7">
      <c r="A7" s="54"/>
      <c r="B7" s="62" t="s">
        <v>42</v>
      </c>
      <c r="C7" s="63" t="s">
        <v>43</v>
      </c>
      <c r="D7" s="63" t="s">
        <v>44</v>
      </c>
      <c r="E7" s="63" t="s">
        <v>45</v>
      </c>
      <c r="F7" s="57"/>
    </row>
    <row r="8">
      <c r="A8" s="54"/>
      <c r="B8" s="57"/>
      <c r="C8" s="57"/>
      <c r="D8" s="57"/>
      <c r="E8" s="57"/>
      <c r="F8" s="57"/>
    </row>
    <row r="9">
      <c r="A9" s="64"/>
      <c r="B9" s="65" t="s">
        <v>46</v>
      </c>
      <c r="C9" s="66"/>
      <c r="D9" s="66"/>
      <c r="E9" s="67"/>
      <c r="F9" s="68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>
      <c r="A10" s="70"/>
      <c r="B10" s="71" t="s">
        <v>47</v>
      </c>
      <c r="C10" s="72">
        <v>0.0</v>
      </c>
      <c r="D10" s="72">
        <v>0.0</v>
      </c>
      <c r="E10" s="73">
        <f t="shared" ref="E10:E14" si="2">ABS(MINUS(C10,D10))</f>
        <v>0</v>
      </c>
      <c r="F10" s="74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>
      <c r="A11" s="70"/>
      <c r="B11" s="71" t="s">
        <v>48</v>
      </c>
      <c r="C11" s="72">
        <v>0.0</v>
      </c>
      <c r="D11" s="72">
        <v>0.0</v>
      </c>
      <c r="E11" s="73">
        <f t="shared" si="2"/>
        <v>0</v>
      </c>
      <c r="F11" s="74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>
      <c r="A12" s="70"/>
      <c r="B12" s="71" t="s">
        <v>49</v>
      </c>
      <c r="C12" s="72">
        <v>0.0</v>
      </c>
      <c r="D12" s="72">
        <v>0.0</v>
      </c>
      <c r="E12" s="73">
        <f t="shared" si="2"/>
        <v>0</v>
      </c>
      <c r="F12" s="74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>
      <c r="A13" s="70"/>
      <c r="B13" s="71" t="s">
        <v>50</v>
      </c>
      <c r="C13" s="72">
        <v>0.0</v>
      </c>
      <c r="D13" s="72">
        <v>0.0</v>
      </c>
      <c r="E13" s="73">
        <f t="shared" si="2"/>
        <v>0</v>
      </c>
      <c r="F13" s="74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>
      <c r="A14" s="70"/>
      <c r="B14" s="71" t="s">
        <v>51</v>
      </c>
      <c r="C14" s="72">
        <v>0.0</v>
      </c>
      <c r="D14" s="72">
        <v>0.0</v>
      </c>
      <c r="E14" s="73">
        <f t="shared" si="2"/>
        <v>0</v>
      </c>
      <c r="F14" s="74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>
      <c r="A15" s="70"/>
      <c r="B15" s="74"/>
      <c r="C15" s="74"/>
      <c r="D15" s="74"/>
      <c r="E15" s="74"/>
      <c r="F15" s="74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70"/>
      <c r="B16" s="75" t="s">
        <v>52</v>
      </c>
      <c r="C16" s="76">
        <f t="shared" ref="C16:E16" si="3">SUM(C10:C14)</f>
        <v>0</v>
      </c>
      <c r="D16" s="76">
        <f t="shared" si="3"/>
        <v>0</v>
      </c>
      <c r="E16" s="76">
        <f t="shared" si="3"/>
        <v>0</v>
      </c>
      <c r="F16" s="74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54"/>
      <c r="B17" s="77"/>
      <c r="C17" s="77"/>
      <c r="D17" s="77"/>
      <c r="E17" s="77"/>
      <c r="F17" s="57"/>
    </row>
    <row r="18">
      <c r="A18" s="54"/>
      <c r="B18" s="78" t="s">
        <v>53</v>
      </c>
      <c r="C18" s="58"/>
      <c r="D18" s="58"/>
      <c r="E18" s="59"/>
      <c r="F18" s="57"/>
    </row>
    <row r="19">
      <c r="A19" s="54"/>
      <c r="B19" s="79" t="s">
        <v>54</v>
      </c>
      <c r="C19" s="80">
        <v>0.0</v>
      </c>
      <c r="D19" s="80">
        <v>0.0</v>
      </c>
      <c r="E19" s="81">
        <f t="shared" ref="E19:E23" si="4">ABS(MINUS(C19,D19))</f>
        <v>0</v>
      </c>
      <c r="F19" s="57"/>
    </row>
    <row r="20">
      <c r="A20" s="54"/>
      <c r="B20" s="79" t="s">
        <v>55</v>
      </c>
      <c r="C20" s="80">
        <v>0.0</v>
      </c>
      <c r="D20" s="80">
        <v>0.0</v>
      </c>
      <c r="E20" s="81">
        <f t="shared" si="4"/>
        <v>0</v>
      </c>
      <c r="F20" s="57"/>
    </row>
    <row r="21">
      <c r="A21" s="54"/>
      <c r="B21" s="79" t="s">
        <v>56</v>
      </c>
      <c r="C21" s="80">
        <v>0.0</v>
      </c>
      <c r="D21" s="80">
        <v>0.0</v>
      </c>
      <c r="E21" s="81">
        <f t="shared" si="4"/>
        <v>0</v>
      </c>
      <c r="F21" s="57"/>
    </row>
    <row r="22">
      <c r="A22" s="54"/>
      <c r="B22" s="79" t="s">
        <v>57</v>
      </c>
      <c r="C22" s="80">
        <v>0.0</v>
      </c>
      <c r="D22" s="80">
        <v>0.0</v>
      </c>
      <c r="E22" s="81">
        <f t="shared" si="4"/>
        <v>0</v>
      </c>
      <c r="F22" s="57"/>
    </row>
    <row r="23">
      <c r="A23" s="54"/>
      <c r="B23" s="79" t="s">
        <v>58</v>
      </c>
      <c r="C23" s="80">
        <v>0.0</v>
      </c>
      <c r="D23" s="80">
        <v>0.0</v>
      </c>
      <c r="E23" s="81">
        <f t="shared" si="4"/>
        <v>0</v>
      </c>
      <c r="F23" s="57"/>
    </row>
    <row r="24">
      <c r="A24" s="54"/>
      <c r="B24" s="57"/>
      <c r="C24" s="57"/>
      <c r="D24" s="57"/>
      <c r="E24" s="57"/>
      <c r="F24" s="57"/>
    </row>
    <row r="25">
      <c r="A25" s="54"/>
      <c r="B25" s="82" t="s">
        <v>52</v>
      </c>
      <c r="C25" s="83">
        <f t="shared" ref="C25:E25" si="5">SUM(C19:C23)</f>
        <v>0</v>
      </c>
      <c r="D25" s="83">
        <f t="shared" si="5"/>
        <v>0</v>
      </c>
      <c r="E25" s="83">
        <f t="shared" si="5"/>
        <v>0</v>
      </c>
      <c r="F25" s="57"/>
    </row>
    <row r="26">
      <c r="A26" s="54"/>
      <c r="B26" s="57"/>
      <c r="C26" s="57"/>
      <c r="D26" s="57"/>
      <c r="E26" s="57"/>
      <c r="F26" s="57"/>
    </row>
    <row r="27">
      <c r="A27" s="54"/>
      <c r="B27" s="78" t="s">
        <v>59</v>
      </c>
      <c r="C27" s="58"/>
      <c r="D27" s="58"/>
      <c r="E27" s="59"/>
      <c r="F27" s="57"/>
    </row>
    <row r="28">
      <c r="A28" s="54"/>
      <c r="B28" s="79" t="s">
        <v>60</v>
      </c>
      <c r="C28" s="80">
        <v>0.0</v>
      </c>
      <c r="D28" s="80">
        <v>0.0</v>
      </c>
      <c r="E28" s="81">
        <f t="shared" ref="E28:E32" si="6">ABS(MINUS(C28,D28))</f>
        <v>0</v>
      </c>
      <c r="F28" s="57"/>
    </row>
    <row r="29">
      <c r="A29" s="54"/>
      <c r="B29" s="79" t="s">
        <v>61</v>
      </c>
      <c r="C29" s="80">
        <v>0.0</v>
      </c>
      <c r="D29" s="80">
        <v>0.0</v>
      </c>
      <c r="E29" s="81">
        <f t="shared" si="6"/>
        <v>0</v>
      </c>
      <c r="F29" s="57"/>
    </row>
    <row r="30">
      <c r="A30" s="54"/>
      <c r="B30" s="79" t="s">
        <v>62</v>
      </c>
      <c r="C30" s="80">
        <v>0.0</v>
      </c>
      <c r="D30" s="80">
        <v>0.0</v>
      </c>
      <c r="E30" s="81">
        <f t="shared" si="6"/>
        <v>0</v>
      </c>
      <c r="F30" s="57"/>
    </row>
    <row r="31">
      <c r="A31" s="54"/>
      <c r="B31" s="79" t="s">
        <v>63</v>
      </c>
      <c r="C31" s="80">
        <v>0.0</v>
      </c>
      <c r="D31" s="80">
        <v>0.0</v>
      </c>
      <c r="E31" s="81">
        <f t="shared" si="6"/>
        <v>0</v>
      </c>
      <c r="F31" s="57"/>
    </row>
    <row r="32">
      <c r="A32" s="54"/>
      <c r="B32" s="79" t="s">
        <v>64</v>
      </c>
      <c r="C32" s="80">
        <v>0.0</v>
      </c>
      <c r="D32" s="80">
        <v>0.0</v>
      </c>
      <c r="E32" s="81">
        <f t="shared" si="6"/>
        <v>0</v>
      </c>
      <c r="F32" s="57"/>
    </row>
    <row r="33">
      <c r="A33" s="54"/>
      <c r="B33" s="57"/>
      <c r="C33" s="57"/>
      <c r="D33" s="57"/>
      <c r="E33" s="57"/>
      <c r="F33" s="57"/>
    </row>
    <row r="34">
      <c r="A34" s="54"/>
      <c r="B34" s="82" t="s">
        <v>52</v>
      </c>
      <c r="C34" s="83">
        <f t="shared" ref="C34:E34" si="7">SUM(C28:C32)</f>
        <v>0</v>
      </c>
      <c r="D34" s="83">
        <f t="shared" si="7"/>
        <v>0</v>
      </c>
      <c r="E34" s="83">
        <f t="shared" si="7"/>
        <v>0</v>
      </c>
      <c r="F34" s="57"/>
    </row>
    <row r="35">
      <c r="A35" s="54"/>
      <c r="B35" s="57"/>
      <c r="C35" s="57"/>
      <c r="D35" s="57"/>
      <c r="E35" s="57"/>
      <c r="F35" s="57"/>
    </row>
    <row r="36">
      <c r="A36" s="54"/>
      <c r="B36" s="78" t="s">
        <v>65</v>
      </c>
      <c r="C36" s="58"/>
      <c r="D36" s="58"/>
      <c r="E36" s="59"/>
      <c r="F36" s="57"/>
    </row>
    <row r="37">
      <c r="A37" s="54"/>
      <c r="B37" s="79" t="s">
        <v>66</v>
      </c>
      <c r="C37" s="80">
        <v>0.0</v>
      </c>
      <c r="D37" s="80">
        <v>0.0</v>
      </c>
      <c r="E37" s="81">
        <f t="shared" ref="E37:E41" si="8">ABS(MINUS(C37,D37))</f>
        <v>0</v>
      </c>
      <c r="F37" s="57"/>
    </row>
    <row r="38">
      <c r="A38" s="54"/>
      <c r="B38" s="79" t="s">
        <v>67</v>
      </c>
      <c r="C38" s="80">
        <v>0.0</v>
      </c>
      <c r="D38" s="80">
        <v>0.0</v>
      </c>
      <c r="E38" s="81">
        <f t="shared" si="8"/>
        <v>0</v>
      </c>
      <c r="F38" s="57"/>
    </row>
    <row r="39">
      <c r="A39" s="54"/>
      <c r="B39" s="79" t="s">
        <v>68</v>
      </c>
      <c r="C39" s="80">
        <v>0.0</v>
      </c>
      <c r="D39" s="80">
        <v>0.0</v>
      </c>
      <c r="E39" s="81">
        <f t="shared" si="8"/>
        <v>0</v>
      </c>
      <c r="F39" s="57"/>
    </row>
    <row r="40">
      <c r="A40" s="54"/>
      <c r="B40" s="79" t="s">
        <v>69</v>
      </c>
      <c r="C40" s="80">
        <v>0.0</v>
      </c>
      <c r="D40" s="80">
        <v>0.0</v>
      </c>
      <c r="E40" s="81">
        <f t="shared" si="8"/>
        <v>0</v>
      </c>
      <c r="F40" s="57"/>
    </row>
    <row r="41">
      <c r="A41" s="54"/>
      <c r="B41" s="79" t="s">
        <v>70</v>
      </c>
      <c r="C41" s="80">
        <v>0.0</v>
      </c>
      <c r="D41" s="80">
        <v>0.0</v>
      </c>
      <c r="E41" s="81">
        <f t="shared" si="8"/>
        <v>0</v>
      </c>
      <c r="F41" s="57"/>
    </row>
    <row r="42">
      <c r="A42" s="54"/>
      <c r="B42" s="57"/>
      <c r="C42" s="57"/>
      <c r="D42" s="57"/>
      <c r="E42" s="57"/>
      <c r="F42" s="57"/>
    </row>
    <row r="43">
      <c r="A43" s="54"/>
      <c r="B43" s="82" t="s">
        <v>52</v>
      </c>
      <c r="C43" s="83">
        <f t="shared" ref="C43:E43" si="9">SUM(C37:C41)</f>
        <v>0</v>
      </c>
      <c r="D43" s="83">
        <f t="shared" si="9"/>
        <v>0</v>
      </c>
      <c r="E43" s="83">
        <f t="shared" si="9"/>
        <v>0</v>
      </c>
      <c r="F43" s="57"/>
    </row>
    <row r="44">
      <c r="A44" s="54"/>
      <c r="B44" s="57"/>
      <c r="C44" s="57"/>
      <c r="D44" s="57"/>
      <c r="E44" s="57"/>
      <c r="F44" s="57"/>
    </row>
    <row r="45">
      <c r="A45" s="54"/>
      <c r="B45" s="78" t="s">
        <v>71</v>
      </c>
      <c r="C45" s="58"/>
      <c r="D45" s="58"/>
      <c r="E45" s="59"/>
      <c r="F45" s="57"/>
    </row>
    <row r="46">
      <c r="A46" s="54"/>
      <c r="B46" s="79" t="s">
        <v>72</v>
      </c>
      <c r="C46" s="80">
        <v>0.0</v>
      </c>
      <c r="D46" s="80">
        <v>0.0</v>
      </c>
      <c r="E46" s="81">
        <f t="shared" ref="E46:E50" si="10">ABS(MINUS(C46,D46))</f>
        <v>0</v>
      </c>
      <c r="F46" s="57"/>
    </row>
    <row r="47">
      <c r="A47" s="54"/>
      <c r="B47" s="79" t="s">
        <v>73</v>
      </c>
      <c r="C47" s="80">
        <v>0.0</v>
      </c>
      <c r="D47" s="80">
        <v>0.0</v>
      </c>
      <c r="E47" s="81">
        <f t="shared" si="10"/>
        <v>0</v>
      </c>
      <c r="F47" s="57"/>
    </row>
    <row r="48">
      <c r="A48" s="54"/>
      <c r="B48" s="79" t="s">
        <v>74</v>
      </c>
      <c r="C48" s="80">
        <v>0.0</v>
      </c>
      <c r="D48" s="80">
        <v>0.0</v>
      </c>
      <c r="E48" s="81">
        <f t="shared" si="10"/>
        <v>0</v>
      </c>
      <c r="F48" s="57"/>
    </row>
    <row r="49">
      <c r="A49" s="54"/>
      <c r="B49" s="79" t="s">
        <v>75</v>
      </c>
      <c r="C49" s="80">
        <v>0.0</v>
      </c>
      <c r="D49" s="80">
        <v>0.0</v>
      </c>
      <c r="E49" s="81">
        <f t="shared" si="10"/>
        <v>0</v>
      </c>
      <c r="F49" s="57"/>
    </row>
    <row r="50">
      <c r="A50" s="54"/>
      <c r="B50" s="79" t="s">
        <v>76</v>
      </c>
      <c r="C50" s="80">
        <v>0.0</v>
      </c>
      <c r="D50" s="80">
        <v>0.0</v>
      </c>
      <c r="E50" s="81">
        <f t="shared" si="10"/>
        <v>0</v>
      </c>
      <c r="F50" s="57"/>
    </row>
    <row r="51">
      <c r="A51" s="54"/>
      <c r="B51" s="57"/>
      <c r="C51" s="57"/>
      <c r="D51" s="57"/>
      <c r="E51" s="57"/>
      <c r="F51" s="57"/>
    </row>
    <row r="52">
      <c r="A52" s="54"/>
      <c r="B52" s="82" t="s">
        <v>52</v>
      </c>
      <c r="C52" s="83">
        <f t="shared" ref="C52:E52" si="11">SUM(C46:C50)</f>
        <v>0</v>
      </c>
      <c r="D52" s="83">
        <f t="shared" si="11"/>
        <v>0</v>
      </c>
      <c r="E52" s="83">
        <f t="shared" si="11"/>
        <v>0</v>
      </c>
      <c r="F52" s="57"/>
    </row>
    <row r="53">
      <c r="A53" s="54"/>
      <c r="B53" s="57"/>
      <c r="C53" s="57"/>
      <c r="D53" s="57"/>
      <c r="E53" s="57"/>
      <c r="F53" s="57"/>
    </row>
    <row r="54">
      <c r="A54" s="54"/>
      <c r="B54" s="78" t="s">
        <v>77</v>
      </c>
      <c r="C54" s="58"/>
      <c r="D54" s="58"/>
      <c r="E54" s="59"/>
      <c r="F54" s="57"/>
    </row>
    <row r="55">
      <c r="A55" s="54"/>
      <c r="B55" s="79" t="s">
        <v>78</v>
      </c>
      <c r="C55" s="80">
        <v>0.0</v>
      </c>
      <c r="D55" s="80">
        <v>0.0</v>
      </c>
      <c r="E55" s="81">
        <f t="shared" ref="E55:E59" si="12">ABS(MINUS(C55,D55))</f>
        <v>0</v>
      </c>
      <c r="F55" s="57"/>
    </row>
    <row r="56">
      <c r="A56" s="54"/>
      <c r="B56" s="79" t="s">
        <v>79</v>
      </c>
      <c r="C56" s="80">
        <v>0.0</v>
      </c>
      <c r="D56" s="80">
        <v>0.0</v>
      </c>
      <c r="E56" s="81">
        <f t="shared" si="12"/>
        <v>0</v>
      </c>
      <c r="F56" s="57"/>
    </row>
    <row r="57">
      <c r="A57" s="54"/>
      <c r="B57" s="79" t="s">
        <v>80</v>
      </c>
      <c r="C57" s="80">
        <v>0.0</v>
      </c>
      <c r="D57" s="80">
        <v>0.0</v>
      </c>
      <c r="E57" s="81">
        <f t="shared" si="12"/>
        <v>0</v>
      </c>
      <c r="F57" s="57"/>
    </row>
    <row r="58">
      <c r="A58" s="54"/>
      <c r="B58" s="79" t="s">
        <v>81</v>
      </c>
      <c r="C58" s="80">
        <v>0.0</v>
      </c>
      <c r="D58" s="80">
        <v>0.0</v>
      </c>
      <c r="E58" s="81">
        <f t="shared" si="12"/>
        <v>0</v>
      </c>
      <c r="F58" s="57"/>
    </row>
    <row r="59">
      <c r="A59" s="54"/>
      <c r="B59" s="79" t="s">
        <v>82</v>
      </c>
      <c r="C59" s="80">
        <v>0.0</v>
      </c>
      <c r="D59" s="80">
        <v>0.0</v>
      </c>
      <c r="E59" s="81">
        <f t="shared" si="12"/>
        <v>0</v>
      </c>
      <c r="F59" s="57"/>
    </row>
    <row r="60">
      <c r="A60" s="54"/>
      <c r="B60" s="57"/>
      <c r="C60" s="57"/>
      <c r="D60" s="57"/>
      <c r="E60" s="57"/>
      <c r="F60" s="57"/>
    </row>
    <row r="61">
      <c r="A61" s="54"/>
      <c r="B61" s="82" t="s">
        <v>52</v>
      </c>
      <c r="C61" s="83">
        <f t="shared" ref="C61:E61" si="13">SUM(C55:C59)</f>
        <v>0</v>
      </c>
      <c r="D61" s="83">
        <f t="shared" si="13"/>
        <v>0</v>
      </c>
      <c r="E61" s="83">
        <f t="shared" si="13"/>
        <v>0</v>
      </c>
      <c r="F61" s="57"/>
    </row>
    <row r="62">
      <c r="A62" s="54"/>
      <c r="B62" s="57"/>
      <c r="C62" s="57"/>
      <c r="D62" s="57"/>
      <c r="E62" s="57"/>
      <c r="F62" s="57"/>
    </row>
    <row r="63">
      <c r="A63" s="54"/>
      <c r="B63" s="78" t="s">
        <v>83</v>
      </c>
      <c r="C63" s="58"/>
      <c r="D63" s="58"/>
      <c r="E63" s="59"/>
      <c r="F63" s="57"/>
    </row>
    <row r="64">
      <c r="A64" s="54"/>
      <c r="B64" s="79" t="s">
        <v>84</v>
      </c>
      <c r="C64" s="80">
        <v>0.0</v>
      </c>
      <c r="D64" s="80">
        <v>0.0</v>
      </c>
      <c r="E64" s="81">
        <f t="shared" ref="E64:E68" si="14">ABS(MINUS(C64,D64))</f>
        <v>0</v>
      </c>
      <c r="F64" s="57"/>
    </row>
    <row r="65">
      <c r="A65" s="54"/>
      <c r="B65" s="79" t="s">
        <v>85</v>
      </c>
      <c r="C65" s="80">
        <v>0.0</v>
      </c>
      <c r="D65" s="80">
        <v>0.0</v>
      </c>
      <c r="E65" s="81">
        <f t="shared" si="14"/>
        <v>0</v>
      </c>
      <c r="F65" s="57"/>
    </row>
    <row r="66">
      <c r="A66" s="54"/>
      <c r="B66" s="79" t="s">
        <v>86</v>
      </c>
      <c r="C66" s="80">
        <v>0.0</v>
      </c>
      <c r="D66" s="80">
        <v>0.0</v>
      </c>
      <c r="E66" s="81">
        <f t="shared" si="14"/>
        <v>0</v>
      </c>
      <c r="F66" s="57"/>
    </row>
    <row r="67">
      <c r="A67" s="54"/>
      <c r="B67" s="79" t="s">
        <v>87</v>
      </c>
      <c r="C67" s="80">
        <v>0.0</v>
      </c>
      <c r="D67" s="80">
        <v>0.0</v>
      </c>
      <c r="E67" s="81">
        <f t="shared" si="14"/>
        <v>0</v>
      </c>
      <c r="F67" s="57"/>
    </row>
    <row r="68">
      <c r="A68" s="54"/>
      <c r="B68" s="79" t="s">
        <v>88</v>
      </c>
      <c r="C68" s="80">
        <v>0.0</v>
      </c>
      <c r="D68" s="80">
        <v>0.0</v>
      </c>
      <c r="E68" s="81">
        <f t="shared" si="14"/>
        <v>0</v>
      </c>
      <c r="F68" s="57"/>
    </row>
    <row r="69">
      <c r="A69" s="54"/>
      <c r="B69" s="57"/>
      <c r="C69" s="57"/>
      <c r="D69" s="57"/>
      <c r="E69" s="57"/>
      <c r="F69" s="57"/>
    </row>
    <row r="70">
      <c r="A70" s="54"/>
      <c r="B70" s="82" t="s">
        <v>52</v>
      </c>
      <c r="C70" s="83">
        <f t="shared" ref="C70:E70" si="15">SUM(C64:C68)</f>
        <v>0</v>
      </c>
      <c r="D70" s="83">
        <f t="shared" si="15"/>
        <v>0</v>
      </c>
      <c r="E70" s="83">
        <f t="shared" si="15"/>
        <v>0</v>
      </c>
      <c r="F70" s="57"/>
    </row>
    <row r="71">
      <c r="A71" s="54"/>
      <c r="B71" s="57"/>
      <c r="C71" s="57"/>
      <c r="D71" s="57"/>
      <c r="E71" s="57"/>
      <c r="F71" s="57"/>
    </row>
    <row r="72">
      <c r="A72" s="54"/>
      <c r="B72" s="78" t="s">
        <v>89</v>
      </c>
      <c r="C72" s="58"/>
      <c r="D72" s="58"/>
      <c r="E72" s="59"/>
      <c r="F72" s="57"/>
    </row>
    <row r="73">
      <c r="A73" s="54"/>
      <c r="B73" s="79" t="s">
        <v>90</v>
      </c>
      <c r="C73" s="80">
        <v>0.0</v>
      </c>
      <c r="D73" s="80">
        <v>0.0</v>
      </c>
      <c r="E73" s="81">
        <f t="shared" ref="E73:E77" si="16">ABS(MINUS(C73,D73))</f>
        <v>0</v>
      </c>
      <c r="F73" s="57"/>
    </row>
    <row r="74">
      <c r="A74" s="54"/>
      <c r="B74" s="79" t="s">
        <v>91</v>
      </c>
      <c r="C74" s="80">
        <v>0.0</v>
      </c>
      <c r="D74" s="80">
        <v>0.0</v>
      </c>
      <c r="E74" s="81">
        <f t="shared" si="16"/>
        <v>0</v>
      </c>
      <c r="F74" s="57"/>
    </row>
    <row r="75">
      <c r="A75" s="54"/>
      <c r="B75" s="79" t="s">
        <v>92</v>
      </c>
      <c r="C75" s="80">
        <v>0.0</v>
      </c>
      <c r="D75" s="80">
        <v>0.0</v>
      </c>
      <c r="E75" s="81">
        <f t="shared" si="16"/>
        <v>0</v>
      </c>
      <c r="F75" s="57"/>
    </row>
    <row r="76">
      <c r="A76" s="54"/>
      <c r="B76" s="79" t="s">
        <v>93</v>
      </c>
      <c r="C76" s="80">
        <v>0.0</v>
      </c>
      <c r="D76" s="80">
        <v>0.0</v>
      </c>
      <c r="E76" s="81">
        <f t="shared" si="16"/>
        <v>0</v>
      </c>
      <c r="F76" s="57"/>
    </row>
    <row r="77">
      <c r="A77" s="54"/>
      <c r="B77" s="79" t="s">
        <v>94</v>
      </c>
      <c r="C77" s="80">
        <v>0.0</v>
      </c>
      <c r="D77" s="80">
        <v>0.0</v>
      </c>
      <c r="E77" s="81">
        <f t="shared" si="16"/>
        <v>0</v>
      </c>
      <c r="F77" s="57"/>
    </row>
    <row r="78">
      <c r="A78" s="54"/>
      <c r="B78" s="57"/>
      <c r="C78" s="57"/>
      <c r="D78" s="57"/>
      <c r="E78" s="57"/>
      <c r="F78" s="57"/>
    </row>
    <row r="79">
      <c r="A79" s="54"/>
      <c r="B79" s="82" t="s">
        <v>52</v>
      </c>
      <c r="C79" s="83">
        <f t="shared" ref="C79:E79" si="17">SUM(C73:C77)</f>
        <v>0</v>
      </c>
      <c r="D79" s="83">
        <f t="shared" si="17"/>
        <v>0</v>
      </c>
      <c r="E79" s="83">
        <f t="shared" si="17"/>
        <v>0</v>
      </c>
      <c r="F79" s="57"/>
    </row>
    <row r="80">
      <c r="A80" s="54"/>
      <c r="B80" s="57"/>
      <c r="C80" s="57"/>
      <c r="D80" s="57"/>
      <c r="E80" s="57"/>
      <c r="F80" s="57"/>
    </row>
    <row r="81">
      <c r="A81" s="54"/>
      <c r="B81" s="78" t="s">
        <v>95</v>
      </c>
      <c r="C81" s="58"/>
      <c r="D81" s="58"/>
      <c r="E81" s="59"/>
      <c r="F81" s="57"/>
    </row>
    <row r="82">
      <c r="A82" s="54"/>
      <c r="B82" s="79" t="s">
        <v>96</v>
      </c>
      <c r="C82" s="80">
        <v>0.0</v>
      </c>
      <c r="D82" s="80">
        <v>0.0</v>
      </c>
      <c r="E82" s="81">
        <f t="shared" ref="E82:E86" si="18">ABS(MINUS(C82,D82))</f>
        <v>0</v>
      </c>
      <c r="F82" s="57"/>
    </row>
    <row r="83">
      <c r="A83" s="54"/>
      <c r="B83" s="79" t="s">
        <v>97</v>
      </c>
      <c r="C83" s="80">
        <v>0.0</v>
      </c>
      <c r="D83" s="80">
        <v>0.0</v>
      </c>
      <c r="E83" s="81">
        <f t="shared" si="18"/>
        <v>0</v>
      </c>
      <c r="F83" s="57"/>
    </row>
    <row r="84">
      <c r="A84" s="54"/>
      <c r="B84" s="79" t="s">
        <v>98</v>
      </c>
      <c r="C84" s="80">
        <v>0.0</v>
      </c>
      <c r="D84" s="80">
        <v>0.0</v>
      </c>
      <c r="E84" s="81">
        <f t="shared" si="18"/>
        <v>0</v>
      </c>
      <c r="F84" s="57"/>
    </row>
    <row r="85">
      <c r="A85" s="54"/>
      <c r="B85" s="79" t="s">
        <v>99</v>
      </c>
      <c r="C85" s="80">
        <v>0.0</v>
      </c>
      <c r="D85" s="80">
        <v>0.0</v>
      </c>
      <c r="E85" s="81">
        <f t="shared" si="18"/>
        <v>0</v>
      </c>
      <c r="F85" s="57"/>
    </row>
    <row r="86">
      <c r="A86" s="54"/>
      <c r="B86" s="79" t="s">
        <v>100</v>
      </c>
      <c r="C86" s="80">
        <v>0.0</v>
      </c>
      <c r="D86" s="80">
        <v>0.0</v>
      </c>
      <c r="E86" s="81">
        <f t="shared" si="18"/>
        <v>0</v>
      </c>
      <c r="F86" s="57"/>
    </row>
    <row r="87">
      <c r="A87" s="54"/>
      <c r="B87" s="57"/>
      <c r="C87" s="57"/>
      <c r="D87" s="57"/>
      <c r="E87" s="57"/>
      <c r="F87" s="57"/>
    </row>
    <row r="88">
      <c r="A88" s="54"/>
      <c r="B88" s="82" t="s">
        <v>52</v>
      </c>
      <c r="C88" s="83">
        <f t="shared" ref="C88:E88" si="19">SUM(C82:C86)</f>
        <v>0</v>
      </c>
      <c r="D88" s="83">
        <f t="shared" si="19"/>
        <v>0</v>
      </c>
      <c r="E88" s="83">
        <f t="shared" si="19"/>
        <v>0</v>
      </c>
      <c r="F88" s="57"/>
    </row>
    <row r="89">
      <c r="A89" s="54"/>
      <c r="B89" s="57"/>
      <c r="C89" s="57"/>
      <c r="D89" s="57"/>
      <c r="E89" s="57"/>
      <c r="F89" s="57"/>
    </row>
    <row r="90">
      <c r="A90" s="54"/>
      <c r="B90" s="78" t="s">
        <v>101</v>
      </c>
      <c r="C90" s="58"/>
      <c r="D90" s="58"/>
      <c r="E90" s="59"/>
      <c r="F90" s="57"/>
    </row>
    <row r="91">
      <c r="A91" s="54"/>
      <c r="B91" s="79" t="s">
        <v>102</v>
      </c>
      <c r="C91" s="80">
        <v>0.0</v>
      </c>
      <c r="D91" s="80">
        <v>0.0</v>
      </c>
      <c r="E91" s="81">
        <f t="shared" ref="E91:E95" si="20">ABS(MINUS(C91,D91))</f>
        <v>0</v>
      </c>
      <c r="F91" s="57"/>
    </row>
    <row r="92">
      <c r="A92" s="54"/>
      <c r="B92" s="79" t="s">
        <v>103</v>
      </c>
      <c r="C92" s="80">
        <v>0.0</v>
      </c>
      <c r="D92" s="80">
        <v>0.0</v>
      </c>
      <c r="E92" s="81">
        <f t="shared" si="20"/>
        <v>0</v>
      </c>
      <c r="F92" s="57"/>
    </row>
    <row r="93">
      <c r="A93" s="54"/>
      <c r="B93" s="79" t="s">
        <v>104</v>
      </c>
      <c r="C93" s="80">
        <v>0.0</v>
      </c>
      <c r="D93" s="80">
        <v>0.0</v>
      </c>
      <c r="E93" s="81">
        <f t="shared" si="20"/>
        <v>0</v>
      </c>
      <c r="F93" s="57"/>
    </row>
    <row r="94">
      <c r="A94" s="54"/>
      <c r="B94" s="79" t="s">
        <v>105</v>
      </c>
      <c r="C94" s="80">
        <v>0.0</v>
      </c>
      <c r="D94" s="80">
        <v>0.0</v>
      </c>
      <c r="E94" s="81">
        <f t="shared" si="20"/>
        <v>0</v>
      </c>
      <c r="F94" s="57"/>
    </row>
    <row r="95">
      <c r="A95" s="54"/>
      <c r="B95" s="79" t="s">
        <v>106</v>
      </c>
      <c r="C95" s="80">
        <v>0.0</v>
      </c>
      <c r="D95" s="80">
        <v>0.0</v>
      </c>
      <c r="E95" s="81">
        <f t="shared" si="20"/>
        <v>0</v>
      </c>
      <c r="F95" s="57"/>
    </row>
    <row r="96">
      <c r="A96" s="54"/>
      <c r="B96" s="57"/>
      <c r="C96" s="57"/>
      <c r="D96" s="57"/>
      <c r="E96" s="57"/>
      <c r="F96" s="57"/>
    </row>
    <row r="97">
      <c r="A97" s="54"/>
      <c r="B97" s="82" t="s">
        <v>52</v>
      </c>
      <c r="C97" s="83">
        <f t="shared" ref="C97:E97" si="21">SUM(C91:C95)</f>
        <v>0</v>
      </c>
      <c r="D97" s="83">
        <f t="shared" si="21"/>
        <v>0</v>
      </c>
      <c r="E97" s="83">
        <f t="shared" si="21"/>
        <v>0</v>
      </c>
      <c r="F97" s="57"/>
    </row>
    <row r="98">
      <c r="A98" s="54"/>
      <c r="B98" s="57"/>
      <c r="C98" s="57"/>
      <c r="D98" s="57"/>
      <c r="E98" s="57"/>
      <c r="F98" s="57"/>
    </row>
    <row r="99">
      <c r="A99" s="54"/>
      <c r="B99" s="57"/>
      <c r="C99" s="57"/>
      <c r="D99" s="57"/>
      <c r="E99" s="57"/>
      <c r="F99" s="57"/>
    </row>
    <row r="100">
      <c r="A100" s="54"/>
      <c r="B100" s="57"/>
      <c r="C100" s="57"/>
      <c r="D100" s="57"/>
      <c r="E100" s="57"/>
      <c r="F100" s="57"/>
    </row>
    <row r="101">
      <c r="A101" s="54"/>
      <c r="B101" s="57"/>
      <c r="C101" s="57"/>
      <c r="D101" s="57"/>
      <c r="E101" s="57"/>
      <c r="F101" s="57"/>
    </row>
    <row r="102">
      <c r="A102" s="54"/>
      <c r="B102" s="57"/>
      <c r="C102" s="57"/>
      <c r="D102" s="57"/>
      <c r="E102" s="57"/>
      <c r="F102" s="57"/>
    </row>
    <row r="103">
      <c r="A103" s="54"/>
      <c r="B103" s="57"/>
      <c r="C103" s="57"/>
      <c r="D103" s="57"/>
      <c r="E103" s="57"/>
      <c r="F103" s="57"/>
    </row>
    <row r="104">
      <c r="A104" s="54"/>
      <c r="B104" s="57"/>
      <c r="C104" s="57"/>
      <c r="D104" s="57"/>
      <c r="E104" s="57"/>
      <c r="F104" s="57"/>
    </row>
  </sheetData>
  <mergeCells count="11">
    <mergeCell ref="B63:E63"/>
    <mergeCell ref="B72:E72"/>
    <mergeCell ref="B81:E81"/>
    <mergeCell ref="B90:E90"/>
    <mergeCell ref="B2:E4"/>
    <mergeCell ref="B9:E9"/>
    <mergeCell ref="B18:E18"/>
    <mergeCell ref="B27:E27"/>
    <mergeCell ref="B36:E36"/>
    <mergeCell ref="B45:E45"/>
    <mergeCell ref="B54:E5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12"/>
    </row>
    <row r="2">
      <c r="A2" s="84" t="s">
        <v>107</v>
      </c>
      <c r="B2" s="12"/>
    </row>
    <row r="3">
      <c r="B3" s="85">
        <f>'Master Calculator'!D9</f>
        <v>7200</v>
      </c>
    </row>
    <row r="4">
      <c r="B4" s="12"/>
    </row>
    <row r="5">
      <c r="A5" s="86" t="s">
        <v>108</v>
      </c>
      <c r="B5" s="87">
        <f>'Master Calculator'!B15</f>
        <v>1440</v>
      </c>
      <c r="C5" s="84" t="s">
        <v>109</v>
      </c>
      <c r="D5" s="84" t="s">
        <v>110</v>
      </c>
      <c r="E5" s="84" t="s">
        <v>111</v>
      </c>
      <c r="F5" s="84" t="s">
        <v>112</v>
      </c>
    </row>
    <row r="6">
      <c r="A6" s="84" t="s">
        <v>113</v>
      </c>
      <c r="B6" s="12">
        <f>'Master Calculator'!C17</f>
        <v>475.2</v>
      </c>
      <c r="D6" s="88"/>
      <c r="E6" s="89"/>
      <c r="F6" s="89"/>
      <c r="G6" s="90"/>
    </row>
    <row r="7">
      <c r="A7" s="84" t="s">
        <v>114</v>
      </c>
      <c r="B7" s="12">
        <f>'Master Calculator'!C18</f>
        <v>331.2</v>
      </c>
      <c r="D7" s="91"/>
      <c r="E7" s="92"/>
      <c r="F7" s="92"/>
      <c r="G7" s="93"/>
    </row>
    <row r="8">
      <c r="A8" s="84" t="s">
        <v>115</v>
      </c>
      <c r="B8" s="12">
        <f>'Master Calculator'!C19</f>
        <v>244.8</v>
      </c>
      <c r="D8" s="91"/>
      <c r="E8" s="92"/>
      <c r="F8" s="92"/>
      <c r="G8" s="93"/>
    </row>
    <row r="9">
      <c r="A9" s="84" t="s">
        <v>116</v>
      </c>
      <c r="B9" s="12">
        <f>'Master Calculator'!C20</f>
        <v>172.8</v>
      </c>
      <c r="D9" s="91"/>
      <c r="E9" s="92"/>
      <c r="F9" s="92"/>
      <c r="G9" s="93"/>
    </row>
    <row r="10">
      <c r="A10" s="84" t="s">
        <v>117</v>
      </c>
      <c r="B10" s="12">
        <f>'Master Calculator'!C21</f>
        <v>129.6</v>
      </c>
      <c r="D10" s="91"/>
      <c r="E10" s="92"/>
      <c r="F10" s="92"/>
      <c r="G10" s="93"/>
    </row>
    <row r="11">
      <c r="A11" s="84" t="s">
        <v>118</v>
      </c>
      <c r="B11" s="12">
        <f>'Master Calculator'!C22</f>
        <v>86.4</v>
      </c>
      <c r="D11" s="91"/>
      <c r="E11" s="92"/>
      <c r="F11" s="92"/>
      <c r="G11" s="93"/>
    </row>
    <row r="12">
      <c r="A12" s="84" t="s">
        <v>119</v>
      </c>
      <c r="B12" s="12">
        <f>'Master Calculator'!C23</f>
        <v>0</v>
      </c>
      <c r="D12" s="91"/>
      <c r="E12" s="92"/>
      <c r="F12" s="92"/>
      <c r="G12" s="93"/>
    </row>
    <row r="13">
      <c r="A13" s="84" t="s">
        <v>120</v>
      </c>
      <c r="B13" s="12">
        <f>'Master Calculator'!C24</f>
        <v>0</v>
      </c>
      <c r="D13" s="91"/>
      <c r="E13" s="92"/>
      <c r="F13" s="92"/>
      <c r="G13" s="93"/>
    </row>
    <row r="14">
      <c r="A14" s="84" t="s">
        <v>121</v>
      </c>
      <c r="B14" s="12">
        <f>'Master Calculator'!C25</f>
        <v>0</v>
      </c>
      <c r="D14" s="91"/>
      <c r="E14" s="92"/>
      <c r="F14" s="92"/>
      <c r="G14" s="93"/>
    </row>
    <row r="15">
      <c r="A15" s="84" t="s">
        <v>122</v>
      </c>
      <c r="B15" s="12">
        <f>'Master Calculator'!C26</f>
        <v>0</v>
      </c>
    </row>
    <row r="16">
      <c r="A16" s="84" t="s">
        <v>123</v>
      </c>
      <c r="B16" s="12">
        <f>'Master Calculator'!C27</f>
        <v>0</v>
      </c>
    </row>
    <row r="17">
      <c r="A17" s="84" t="s">
        <v>124</v>
      </c>
      <c r="B17" s="12">
        <f>'Master Calculator'!C28</f>
        <v>0</v>
      </c>
    </row>
    <row r="18">
      <c r="B18" s="12" t="str">
        <f>'Master Calculator'!C29</f>
        <v/>
      </c>
    </row>
    <row r="19">
      <c r="A19" s="86" t="s">
        <v>125</v>
      </c>
      <c r="B19" s="87">
        <f>'Master Calculator'!B33</f>
        <v>1440</v>
      </c>
      <c r="C19" s="84" t="s">
        <v>109</v>
      </c>
      <c r="D19" s="84" t="s">
        <v>110</v>
      </c>
      <c r="E19" s="84" t="s">
        <v>111</v>
      </c>
      <c r="F19" s="84" t="s">
        <v>112</v>
      </c>
    </row>
    <row r="20">
      <c r="A20" s="84" t="s">
        <v>113</v>
      </c>
      <c r="B20" s="12">
        <f>'Master Calculator'!C35</f>
        <v>475.2</v>
      </c>
    </row>
    <row r="21">
      <c r="A21" s="84" t="s">
        <v>114</v>
      </c>
      <c r="B21" s="12">
        <f>'Master Calculator'!C36</f>
        <v>331.2</v>
      </c>
    </row>
    <row r="22">
      <c r="A22" s="84" t="s">
        <v>115</v>
      </c>
      <c r="B22" s="12">
        <f>'Master Calculator'!C37</f>
        <v>244.8</v>
      </c>
    </row>
    <row r="23">
      <c r="A23" s="84" t="s">
        <v>116</v>
      </c>
      <c r="B23" s="12">
        <f>'Master Calculator'!C38</f>
        <v>172.8</v>
      </c>
    </row>
    <row r="24">
      <c r="A24" s="84" t="s">
        <v>117</v>
      </c>
      <c r="B24" s="12">
        <f>'Master Calculator'!C39</f>
        <v>129.6</v>
      </c>
    </row>
    <row r="25">
      <c r="A25" s="84" t="s">
        <v>118</v>
      </c>
      <c r="B25" s="12">
        <f>'Master Calculator'!C40</f>
        <v>86.4</v>
      </c>
    </row>
    <row r="26">
      <c r="A26" s="84" t="s">
        <v>119</v>
      </c>
      <c r="B26" s="12">
        <f>'Master Calculator'!C41</f>
        <v>0</v>
      </c>
    </row>
    <row r="27">
      <c r="A27" s="84" t="s">
        <v>120</v>
      </c>
      <c r="B27" s="12">
        <f>'Master Calculator'!C42</f>
        <v>0</v>
      </c>
    </row>
    <row r="28">
      <c r="A28" s="84" t="s">
        <v>121</v>
      </c>
      <c r="B28" s="12">
        <f>'Master Calculator'!C43</f>
        <v>0</v>
      </c>
    </row>
    <row r="29">
      <c r="A29" s="84" t="s">
        <v>122</v>
      </c>
      <c r="B29" s="12">
        <f>'Master Calculator'!C44</f>
        <v>0</v>
      </c>
    </row>
    <row r="30">
      <c r="A30" s="84" t="s">
        <v>123</v>
      </c>
      <c r="B30" s="12">
        <f>'Master Calculator'!C45</f>
        <v>0</v>
      </c>
    </row>
    <row r="31">
      <c r="A31" s="84" t="s">
        <v>124</v>
      </c>
      <c r="B31" s="12">
        <f>'Master Calculator'!C46</f>
        <v>0</v>
      </c>
    </row>
    <row r="32">
      <c r="B32" s="12"/>
    </row>
    <row r="33">
      <c r="A33" s="86" t="s">
        <v>126</v>
      </c>
      <c r="B33" s="87">
        <f>'Master Calculator'!B51</f>
        <v>1440</v>
      </c>
      <c r="C33" s="84" t="s">
        <v>109</v>
      </c>
      <c r="D33" s="84" t="s">
        <v>110</v>
      </c>
      <c r="E33" s="84" t="s">
        <v>111</v>
      </c>
      <c r="F33" s="84" t="s">
        <v>112</v>
      </c>
    </row>
    <row r="34">
      <c r="A34" s="84" t="s">
        <v>113</v>
      </c>
      <c r="B34" s="12">
        <f>'Master Calculator'!C53</f>
        <v>475.2</v>
      </c>
    </row>
    <row r="35">
      <c r="A35" s="84" t="s">
        <v>114</v>
      </c>
      <c r="B35" s="12">
        <f>'Master Calculator'!C54</f>
        <v>331.2</v>
      </c>
    </row>
    <row r="36">
      <c r="A36" s="84" t="s">
        <v>115</v>
      </c>
      <c r="B36" s="12">
        <f>'Master Calculator'!C55</f>
        <v>244.8</v>
      </c>
    </row>
    <row r="37">
      <c r="A37" s="84" t="s">
        <v>116</v>
      </c>
      <c r="B37" s="12">
        <f>'Master Calculator'!C56</f>
        <v>172.8</v>
      </c>
    </row>
    <row r="38">
      <c r="A38" s="84" t="s">
        <v>117</v>
      </c>
      <c r="B38" s="12">
        <f>'Master Calculator'!C57</f>
        <v>129.6</v>
      </c>
    </row>
    <row r="39">
      <c r="A39" s="84" t="s">
        <v>118</v>
      </c>
      <c r="B39" s="12">
        <f>'Master Calculator'!C58</f>
        <v>86.4</v>
      </c>
    </row>
    <row r="40">
      <c r="A40" s="84" t="s">
        <v>119</v>
      </c>
      <c r="B40" s="12">
        <f>'Master Calculator'!C59</f>
        <v>0</v>
      </c>
    </row>
    <row r="41">
      <c r="A41" s="84" t="s">
        <v>120</v>
      </c>
      <c r="B41" s="12">
        <f>'Master Calculator'!C60</f>
        <v>0</v>
      </c>
    </row>
    <row r="42">
      <c r="A42" s="84" t="s">
        <v>121</v>
      </c>
      <c r="B42" s="12">
        <f>'Master Calculator'!C61</f>
        <v>0</v>
      </c>
    </row>
    <row r="43">
      <c r="A43" s="84" t="s">
        <v>122</v>
      </c>
      <c r="B43" s="12">
        <f>'Master Calculator'!C62</f>
        <v>0</v>
      </c>
    </row>
    <row r="44">
      <c r="A44" s="84" t="s">
        <v>123</v>
      </c>
      <c r="B44" s="12">
        <f>'Master Calculator'!C63</f>
        <v>0</v>
      </c>
    </row>
    <row r="45">
      <c r="A45" s="84" t="s">
        <v>124</v>
      </c>
      <c r="B45" s="12">
        <f>'Master Calculator'!C64</f>
        <v>0</v>
      </c>
    </row>
    <row r="46">
      <c r="B46" s="12"/>
    </row>
    <row r="47">
      <c r="A47" s="86" t="s">
        <v>127</v>
      </c>
      <c r="B47" s="87">
        <f>'Master Calculator'!B69</f>
        <v>1440</v>
      </c>
      <c r="C47" s="84" t="s">
        <v>109</v>
      </c>
      <c r="D47" s="84" t="s">
        <v>110</v>
      </c>
      <c r="E47" s="84" t="s">
        <v>111</v>
      </c>
      <c r="F47" s="84" t="s">
        <v>112</v>
      </c>
    </row>
    <row r="48">
      <c r="A48" s="84" t="s">
        <v>113</v>
      </c>
      <c r="B48" s="12">
        <f>'Master Calculator'!C71</f>
        <v>475.2</v>
      </c>
    </row>
    <row r="49">
      <c r="A49" s="84" t="s">
        <v>114</v>
      </c>
      <c r="B49" s="12">
        <f>'Master Calculator'!C72</f>
        <v>331.2</v>
      </c>
    </row>
    <row r="50">
      <c r="A50" s="84" t="s">
        <v>115</v>
      </c>
      <c r="B50" s="12">
        <f>'Master Calculator'!C73</f>
        <v>244.8</v>
      </c>
    </row>
    <row r="51">
      <c r="A51" s="84" t="s">
        <v>116</v>
      </c>
      <c r="B51" s="12">
        <f>'Master Calculator'!C74</f>
        <v>172.8</v>
      </c>
    </row>
    <row r="52">
      <c r="A52" s="84" t="s">
        <v>117</v>
      </c>
      <c r="B52" s="12">
        <f>'Master Calculator'!C75</f>
        <v>129.6</v>
      </c>
    </row>
    <row r="53">
      <c r="A53" s="84" t="s">
        <v>118</v>
      </c>
      <c r="B53" s="12">
        <f>'Master Calculator'!C76</f>
        <v>86.4</v>
      </c>
    </row>
    <row r="54">
      <c r="A54" s="84" t="s">
        <v>119</v>
      </c>
      <c r="B54" s="12">
        <f>'Master Calculator'!C77</f>
        <v>0</v>
      </c>
    </row>
    <row r="55">
      <c r="A55" s="84" t="s">
        <v>120</v>
      </c>
      <c r="B55" s="12">
        <f>'Master Calculator'!C78</f>
        <v>0</v>
      </c>
    </row>
    <row r="56">
      <c r="A56" s="84" t="s">
        <v>121</v>
      </c>
      <c r="B56" s="12">
        <f>'Master Calculator'!C79</f>
        <v>0</v>
      </c>
    </row>
    <row r="57">
      <c r="A57" s="84" t="s">
        <v>122</v>
      </c>
      <c r="B57" s="12">
        <f>'Master Calculator'!C80</f>
        <v>0</v>
      </c>
    </row>
    <row r="58">
      <c r="A58" s="84" t="s">
        <v>123</v>
      </c>
      <c r="B58" s="12">
        <f>'Master Calculator'!C81</f>
        <v>0</v>
      </c>
    </row>
    <row r="59">
      <c r="A59" s="84" t="s">
        <v>124</v>
      </c>
      <c r="B59" s="12">
        <f>'Master Calculator'!C82</f>
        <v>0</v>
      </c>
    </row>
    <row r="60">
      <c r="B60" s="12"/>
    </row>
    <row r="61">
      <c r="A61" s="86" t="s">
        <v>128</v>
      </c>
      <c r="B61" s="87">
        <f>'Master Calculator'!B87</f>
        <v>1440</v>
      </c>
      <c r="C61" s="84" t="s">
        <v>109</v>
      </c>
      <c r="D61" s="84" t="s">
        <v>110</v>
      </c>
      <c r="E61" s="84" t="s">
        <v>111</v>
      </c>
      <c r="F61" s="84" t="s">
        <v>112</v>
      </c>
    </row>
    <row r="62">
      <c r="A62" s="84" t="s">
        <v>113</v>
      </c>
      <c r="B62" s="12">
        <f>'Master Calculator'!C89</f>
        <v>475.2</v>
      </c>
    </row>
    <row r="63">
      <c r="A63" s="84" t="s">
        <v>114</v>
      </c>
      <c r="B63" s="12">
        <f>'Master Calculator'!C90</f>
        <v>331.2</v>
      </c>
    </row>
    <row r="64">
      <c r="A64" s="84" t="s">
        <v>115</v>
      </c>
      <c r="B64" s="12">
        <f>'Master Calculator'!C91</f>
        <v>244.8</v>
      </c>
    </row>
    <row r="65">
      <c r="A65" s="84" t="s">
        <v>116</v>
      </c>
      <c r="B65" s="12">
        <f>'Master Calculator'!C92</f>
        <v>172.8</v>
      </c>
    </row>
    <row r="66">
      <c r="A66" s="84" t="s">
        <v>117</v>
      </c>
      <c r="B66" s="12">
        <f>'Master Calculator'!C93</f>
        <v>129.6</v>
      </c>
    </row>
    <row r="67">
      <c r="A67" s="84" t="s">
        <v>118</v>
      </c>
      <c r="B67" s="12">
        <f>'Master Calculator'!C94</f>
        <v>86.4</v>
      </c>
    </row>
    <row r="68">
      <c r="A68" s="84" t="s">
        <v>119</v>
      </c>
      <c r="B68" s="12">
        <f>'Master Calculator'!C95</f>
        <v>0</v>
      </c>
    </row>
    <row r="69">
      <c r="A69" s="84" t="s">
        <v>120</v>
      </c>
      <c r="B69" s="12">
        <f>'Master Calculator'!C96</f>
        <v>0</v>
      </c>
    </row>
    <row r="70">
      <c r="A70" s="84" t="s">
        <v>121</v>
      </c>
      <c r="B70" s="12">
        <f>'Master Calculator'!C97</f>
        <v>0</v>
      </c>
    </row>
    <row r="71">
      <c r="A71" s="84" t="s">
        <v>122</v>
      </c>
      <c r="B71" s="12">
        <f>'Master Calculator'!C98</f>
        <v>0</v>
      </c>
    </row>
    <row r="72">
      <c r="A72" s="84" t="s">
        <v>123</v>
      </c>
      <c r="B72" s="12">
        <f>'Master Calculator'!C99</f>
        <v>0</v>
      </c>
    </row>
    <row r="73">
      <c r="A73" s="84" t="s">
        <v>124</v>
      </c>
      <c r="B73" s="12">
        <f>'Master Calculator'!C100</f>
        <v>0</v>
      </c>
    </row>
    <row r="74">
      <c r="B74" s="12"/>
    </row>
    <row r="75">
      <c r="B75" s="12"/>
    </row>
    <row r="76">
      <c r="B76" s="12"/>
    </row>
    <row r="77">
      <c r="B77" s="12"/>
    </row>
    <row r="78">
      <c r="B78" s="12"/>
    </row>
    <row r="79">
      <c r="B79" s="12"/>
    </row>
    <row r="80">
      <c r="B80" s="12"/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3.63"/>
    <col customWidth="1" min="2" max="2" width="20.0"/>
    <col customWidth="1" min="3" max="3" width="30.38"/>
    <col customWidth="1" min="4" max="5" width="32.13"/>
    <col customWidth="1" min="6" max="6" width="17.0"/>
    <col customWidth="1" min="7" max="7" width="19.5"/>
    <col customWidth="1" min="8" max="8" width="16.5"/>
    <col customWidth="1" min="9" max="9" width="17.5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7"/>
      <c r="C2" s="7"/>
      <c r="D2" s="7"/>
      <c r="E2" s="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0</v>
      </c>
      <c r="B3" s="2" t="s">
        <v>1</v>
      </c>
      <c r="C3" s="2" t="s">
        <v>2</v>
      </c>
      <c r="D3" s="2" t="s">
        <v>3</v>
      </c>
      <c r="E3" s="8" t="s">
        <v>4</v>
      </c>
      <c r="F3" s="9" t="s">
        <v>5</v>
      </c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45.0</v>
      </c>
      <c r="B4" s="49">
        <v>900.0</v>
      </c>
      <c r="C4" s="10">
        <v>240.0</v>
      </c>
      <c r="D4" s="10">
        <f>B4*C4</f>
        <v>216000</v>
      </c>
      <c r="E4" s="11">
        <f>D4*4%</f>
        <v>8640</v>
      </c>
      <c r="F4" s="12">
        <f>D4-E4</f>
        <v>207360</v>
      </c>
      <c r="G4" s="2" t="s">
        <v>6</v>
      </c>
      <c r="H4" s="2"/>
      <c r="Q4" s="1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/>
      <c r="B5" s="14"/>
      <c r="C5" s="14"/>
      <c r="D5" s="14"/>
      <c r="F5" s="15" t="s">
        <v>7</v>
      </c>
      <c r="G5" s="18">
        <v>1.0</v>
      </c>
      <c r="H5" s="10">
        <f>F4*G5</f>
        <v>207360</v>
      </c>
      <c r="I5" s="15"/>
      <c r="Q5" s="1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14"/>
      <c r="C6" s="14"/>
      <c r="D6" s="14"/>
      <c r="F6" s="15" t="s">
        <v>8</v>
      </c>
      <c r="G6" s="18">
        <v>0.0</v>
      </c>
      <c r="H6" s="17">
        <f>F4*G6</f>
        <v>0</v>
      </c>
      <c r="I6" s="15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/>
      <c r="B7" s="14"/>
      <c r="C7" s="14"/>
      <c r="D7" s="14"/>
      <c r="G7" s="18">
        <f t="shared" ref="G7:H7" si="1">SUM(G5:G6)</f>
        <v>1</v>
      </c>
      <c r="H7" s="10">
        <f t="shared" si="1"/>
        <v>207360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2" t="str">
        <f>F10</f>
        <v/>
      </c>
      <c r="C8" s="2" t="s">
        <v>9</v>
      </c>
      <c r="D8" s="2" t="s">
        <v>10</v>
      </c>
      <c r="E8" s="2" t="s">
        <v>129</v>
      </c>
      <c r="F8" s="2"/>
      <c r="G8" s="3"/>
      <c r="H8" s="3"/>
      <c r="I8" s="3"/>
      <c r="J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7">
        <f>H6</f>
        <v>0</v>
      </c>
      <c r="C9" s="94">
        <v>200000.0</v>
      </c>
      <c r="D9" s="20">
        <f>B9+C9</f>
        <v>200000</v>
      </c>
      <c r="E9" s="95">
        <f>H5-C9</f>
        <v>7360</v>
      </c>
      <c r="F9" s="14"/>
      <c r="G9" s="21" t="s">
        <v>11</v>
      </c>
      <c r="H9" s="24">
        <v>0.6</v>
      </c>
      <c r="I9" s="23">
        <f>H9*H5</f>
        <v>124416</v>
      </c>
      <c r="J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14"/>
      <c r="C10" s="14"/>
      <c r="D10" s="14"/>
      <c r="E10" s="14"/>
      <c r="F10" s="14"/>
      <c r="G10" s="21" t="s">
        <v>12</v>
      </c>
      <c r="H10" s="24">
        <v>0.4</v>
      </c>
      <c r="I10" s="23">
        <f>H10*H5</f>
        <v>82944</v>
      </c>
      <c r="J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2" t="s">
        <v>13</v>
      </c>
      <c r="B11" s="8" t="s">
        <v>130</v>
      </c>
      <c r="C11" s="2" t="s">
        <v>14</v>
      </c>
      <c r="D11" s="2" t="s">
        <v>15</v>
      </c>
      <c r="E11" s="2" t="s">
        <v>16</v>
      </c>
      <c r="F11" s="14"/>
      <c r="G11" s="21"/>
      <c r="H11" s="24">
        <f>SUM(H9:H10)</f>
        <v>1</v>
      </c>
      <c r="I11" s="13"/>
      <c r="J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50">
        <v>20000.0</v>
      </c>
      <c r="B12" s="96">
        <v>20000.0</v>
      </c>
      <c r="C12" s="26">
        <f>D9-A12-B12</f>
        <v>160000</v>
      </c>
      <c r="D12" s="27">
        <v>10.0</v>
      </c>
      <c r="E12" s="28">
        <f>C12/D12</f>
        <v>16000</v>
      </c>
      <c r="F12" s="14"/>
      <c r="G12" s="3"/>
      <c r="H12" s="3"/>
      <c r="I12" s="13"/>
      <c r="J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29"/>
      <c r="C13" s="27"/>
      <c r="D13" s="27"/>
      <c r="E13" s="27"/>
      <c r="F13" s="30"/>
      <c r="G13" s="21" t="s">
        <v>17</v>
      </c>
      <c r="H13" s="21" t="s">
        <v>18</v>
      </c>
      <c r="I13" s="13" t="s">
        <v>19</v>
      </c>
      <c r="J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31" t="s">
        <v>131</v>
      </c>
      <c r="C14" s="27"/>
      <c r="D14" s="7"/>
      <c r="E14" s="32"/>
      <c r="F14" s="30"/>
      <c r="G14" s="23">
        <v>0.0</v>
      </c>
      <c r="H14" s="23">
        <f>I10-G14</f>
        <v>82944</v>
      </c>
      <c r="I14" s="23">
        <f>IF(OR(I9&lt;0, H14&lt;0), SUM(I9,H14), I9)
</f>
        <v>124416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33">
        <f>A12+E12</f>
        <v>36000</v>
      </c>
      <c r="C15" s="32" t="s">
        <v>21</v>
      </c>
      <c r="E15" s="14" t="s">
        <v>22</v>
      </c>
      <c r="F15" s="30"/>
      <c r="G15" s="3"/>
      <c r="H15" s="3"/>
      <c r="I15" s="2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" t="s">
        <v>23</v>
      </c>
      <c r="B16" s="51" t="s">
        <v>132</v>
      </c>
      <c r="C16" s="1"/>
      <c r="E16" s="20">
        <f>sum(C30,C48,C66,C84,C102,C121,C139,C157,C175,C193)</f>
        <v>200000</v>
      </c>
      <c r="F16" s="3"/>
      <c r="G16" s="3"/>
      <c r="H16" s="3"/>
      <c r="I16" s="23" t="s">
        <v>25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">
        <v>1.0</v>
      </c>
      <c r="B17" s="36">
        <f>IFERROR(HLOOKUP(B16,'Payout Schedule'!$B$1:$M$13,A17+1,0),"")</f>
        <v>0.22</v>
      </c>
      <c r="C17" s="10">
        <f>IFERROR(B15*B17,"")</f>
        <v>7920</v>
      </c>
      <c r="D17" s="3"/>
      <c r="E17" s="3"/>
      <c r="F17" s="3"/>
      <c r="G17" s="3"/>
      <c r="H17" s="3"/>
      <c r="I17" s="23">
        <f>IF(I10 &gt; G14, I10, G14)</f>
        <v>82944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">
        <v>2.0</v>
      </c>
      <c r="B18" s="36">
        <f>IFERROR(HLOOKUP(B16,'Payout Schedule'!$B$1:$M$13,A18+1,0),"")</f>
        <v>0.17</v>
      </c>
      <c r="C18" s="10">
        <f>IFERROR(B15*B18,"")</f>
        <v>6120</v>
      </c>
      <c r="D18" s="3"/>
      <c r="E18" s="3"/>
      <c r="F18" s="3"/>
      <c r="G18" s="3"/>
      <c r="H18" s="3"/>
      <c r="I18" s="1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">
        <v>3.0</v>
      </c>
      <c r="B19" s="36">
        <f>IFERROR(HLOOKUP(B16,'Payout Schedule'!$B$1:$M$13,A19+1,0),"")</f>
        <v>0.12</v>
      </c>
      <c r="C19" s="10">
        <f>IFERROR(B15*B19,"")</f>
        <v>4320</v>
      </c>
      <c r="D19" s="3"/>
      <c r="E19" s="3"/>
      <c r="F19" s="3"/>
      <c r="G19" s="3"/>
      <c r="H19" s="3"/>
      <c r="I19" s="21" t="s">
        <v>26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">
        <v>4.0</v>
      </c>
      <c r="B20" s="36">
        <f>IFERROR(HLOOKUP(B16,'Payout Schedule'!$B$1:$M$13,A20+1,0),"")</f>
        <v>0.09</v>
      </c>
      <c r="C20" s="10">
        <f>IFERROR(B15*B20,"")</f>
        <v>3240</v>
      </c>
      <c r="D20" s="3"/>
      <c r="E20" s="3"/>
      <c r="F20" s="3"/>
      <c r="G20" s="21" t="s">
        <v>27</v>
      </c>
      <c r="H20" s="15" t="s">
        <v>28</v>
      </c>
      <c r="I20" s="23">
        <f>G21-I22</f>
        <v>40500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>
        <v>5.0</v>
      </c>
      <c r="B21" s="36">
        <f>IFERROR(HLOOKUP(B16,'Payout Schedule'!$B$1:$M$13,A21+1,0),"")</f>
        <v>0.08</v>
      </c>
      <c r="C21" s="10">
        <f>IFERROR(B15*B21,"")</f>
        <v>2880</v>
      </c>
      <c r="D21" s="3"/>
      <c r="E21" s="3"/>
      <c r="F21" s="3"/>
      <c r="G21" s="23">
        <f>A4*B4</f>
        <v>40500</v>
      </c>
      <c r="H21" s="37">
        <v>0.0</v>
      </c>
      <c r="I21" s="21" t="s">
        <v>29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>
        <v>6.0</v>
      </c>
      <c r="B22" s="36">
        <f>IFERROR(HLOOKUP(B16,'Payout Schedule'!$B$1:$M$13,A22+1,0),"")</f>
        <v>0.07</v>
      </c>
      <c r="C22" s="10">
        <f>IFERROR(B15*B22,"")</f>
        <v>2520</v>
      </c>
      <c r="D22" s="3"/>
      <c r="E22" s="3"/>
      <c r="F22" s="3"/>
      <c r="G22" s="3"/>
      <c r="H22" s="3"/>
      <c r="I22" s="23">
        <f>B4*H21</f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>
        <v>7.0</v>
      </c>
      <c r="B23" s="36">
        <f>IFERROR(HLOOKUP(B16,'Payout Schedule'!$B$1:$M$13,A23+1,0),"")</f>
        <v>0.06</v>
      </c>
      <c r="C23" s="10">
        <f>IFERROR(B15*B23,"")</f>
        <v>2160</v>
      </c>
      <c r="D23" s="3"/>
      <c r="E23" s="3"/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>
        <v>8.0</v>
      </c>
      <c r="B24" s="36">
        <f>IFERROR(HLOOKUP(B16,'Payout Schedule'!$B$1:$M$13,A24+1,0),"")</f>
        <v>0.05</v>
      </c>
      <c r="C24" s="10">
        <f>IFERROR(B15*B24,"")</f>
        <v>1800</v>
      </c>
      <c r="D24" s="3"/>
      <c r="E24" s="38" t="s">
        <v>30</v>
      </c>
      <c r="F24" s="3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>
        <v>9.0</v>
      </c>
      <c r="B25" s="36">
        <f>IFERROR(HLOOKUP(B16,'Payout Schedule'!$B$1:$M$13,A25+1,0),"")</f>
        <v>0.04</v>
      </c>
      <c r="C25" s="10">
        <f>IFERROR(B15*B25,"")</f>
        <v>1440</v>
      </c>
      <c r="D25" s="3"/>
      <c r="E25" s="40" t="s">
        <v>31</v>
      </c>
      <c r="F25" s="41">
        <f>D9</f>
        <v>200000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>
        <v>10.0</v>
      </c>
      <c r="B26" s="36">
        <f>IFERROR(HLOOKUP(B16,'Payout Schedule'!$B$1:$M$13,A26+1,0),"")</f>
        <v>0.04</v>
      </c>
      <c r="C26" s="10">
        <f>IFERROR(B15*B26,"")</f>
        <v>1440</v>
      </c>
      <c r="D26" s="3"/>
      <c r="E26" s="40" t="s">
        <v>32</v>
      </c>
      <c r="F26" s="41">
        <f>I22+I17</f>
        <v>82944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>
        <v>11.0</v>
      </c>
      <c r="B27" s="36">
        <f>IFERROR(HLOOKUP(B16,'Payout Schedule'!$B$1:$M$13,A27+1,0),"")</f>
        <v>0.03</v>
      </c>
      <c r="C27" s="10">
        <f>IFERROR(B15*B27,"")</f>
        <v>1080</v>
      </c>
      <c r="D27" s="3"/>
      <c r="E27" s="40" t="s">
        <v>33</v>
      </c>
      <c r="F27" s="41">
        <f>I9+I20</f>
        <v>164916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>
        <v>12.0</v>
      </c>
      <c r="B28" s="36">
        <f>IFERROR(HLOOKUP(B16,'Payout Schedule'!$B$1:$M$13,A28+1,0),"")</f>
        <v>0.03</v>
      </c>
      <c r="C28" s="10">
        <f>IFERROR(B15*B28,"")</f>
        <v>1080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14"/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34</v>
      </c>
      <c r="B30" s="42">
        <f t="shared" ref="B30:C30" si="2">SUM(B17:B28)</f>
        <v>1</v>
      </c>
      <c r="C30" s="43">
        <f t="shared" si="2"/>
        <v>36000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1" t="s">
        <v>133</v>
      </c>
      <c r="C32" s="27"/>
      <c r="D32" s="7"/>
      <c r="E32" s="32"/>
      <c r="F32" s="30"/>
      <c r="G32" s="2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44">
        <f>B12+E12</f>
        <v>36000</v>
      </c>
      <c r="C33" s="32" t="s">
        <v>21</v>
      </c>
      <c r="D33" s="7"/>
      <c r="E33" s="27"/>
      <c r="F33" s="30"/>
      <c r="G33" s="2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23</v>
      </c>
      <c r="B34" s="51" t="s">
        <v>132</v>
      </c>
      <c r="C34" s="1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>
        <v>1.0</v>
      </c>
      <c r="B35" s="36">
        <f>IFERROR(HLOOKUP(B34,'Payout Schedule'!$B$1:$M$13,A35+1,0),"")</f>
        <v>0.22</v>
      </c>
      <c r="C35" s="10">
        <f>IFERROR(B33*B35,"")</f>
        <v>7920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>
        <v>2.0</v>
      </c>
      <c r="B36" s="36">
        <f>IFERROR(HLOOKUP(B34,'Payout Schedule'!$B$1:$M$13,A36+1,0),"")</f>
        <v>0.17</v>
      </c>
      <c r="C36" s="10">
        <f>IFERROR(B33*B36,"")</f>
        <v>6120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>
        <v>3.0</v>
      </c>
      <c r="B37" s="36">
        <f>IFERROR(HLOOKUP(B34,'Payout Schedule'!$B$1:$M$13,A37+1,0),"")</f>
        <v>0.12</v>
      </c>
      <c r="C37" s="10">
        <f>IFERROR(B33*B37,"")</f>
        <v>4320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>
        <v>4.0</v>
      </c>
      <c r="B38" s="36">
        <f>IFERROR(HLOOKUP(B34,'Payout Schedule'!$B$1:$M$13,A38+1,0),"")</f>
        <v>0.09</v>
      </c>
      <c r="C38" s="10">
        <f>IFERROR(B33*B38,"")</f>
        <v>3240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>
        <v>5.0</v>
      </c>
      <c r="B39" s="36">
        <f>IFERROR(HLOOKUP(B34,'Payout Schedule'!$B$1:$M$13,A39+1,0),"")</f>
        <v>0.08</v>
      </c>
      <c r="C39" s="10">
        <f>IFERROR(B33*B39,"")</f>
        <v>2880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>
        <v>6.0</v>
      </c>
      <c r="B40" s="36">
        <f>IFERROR(HLOOKUP(B34,'Payout Schedule'!$B$1:$M$13,A40+1,0),"")</f>
        <v>0.07</v>
      </c>
      <c r="C40" s="10">
        <f>IFERROR(B33*B40,"")</f>
        <v>2520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>
        <v>7.0</v>
      </c>
      <c r="B41" s="36">
        <f>IFERROR(HLOOKUP(B34,'Payout Schedule'!$B$1:$M$13,A41+1,0),"")</f>
        <v>0.06</v>
      </c>
      <c r="C41" s="10">
        <f>IFERROR(B33*B41,"")</f>
        <v>2160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>
        <v>8.0</v>
      </c>
      <c r="B42" s="36">
        <f>IFERROR(HLOOKUP(B34,'Payout Schedule'!$B$1:$M$13,A42+1,0),"")</f>
        <v>0.05</v>
      </c>
      <c r="C42" s="10">
        <f>IFERROR(B33*B42,"")</f>
        <v>1800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>
        <v>9.0</v>
      </c>
      <c r="B43" s="36">
        <f>IFERROR(HLOOKUP(B34,'Payout Schedule'!$B$1:$M$13,A43+1,0),"")</f>
        <v>0.04</v>
      </c>
      <c r="C43" s="10">
        <f>IFERROR(B33*B43,"")</f>
        <v>1440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>
        <v>10.0</v>
      </c>
      <c r="B44" s="36">
        <f>IFERROR(HLOOKUP(B34,'Payout Schedule'!$B$1:$M$13,A44+1,0),"")</f>
        <v>0.04</v>
      </c>
      <c r="C44" s="10">
        <f>IFERROR(B33*B44,"")</f>
        <v>1440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>
        <v>11.0</v>
      </c>
      <c r="B45" s="36">
        <f>IFERROR(HLOOKUP(B34,'Payout Schedule'!$B$1:$M$13,A45+1,0),"")</f>
        <v>0.03</v>
      </c>
      <c r="C45" s="10">
        <f>IFERROR(B33*B45,"")</f>
        <v>1080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>
        <v>12.0</v>
      </c>
      <c r="B46" s="36">
        <f>IFERROR(HLOOKUP(B34,'Payout Schedule'!$B$1:$M$13,A46+1,0),"")</f>
        <v>0.03</v>
      </c>
      <c r="C46" s="10">
        <f>IFERROR(B33*B46,"")</f>
        <v>1080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14"/>
      <c r="C47" s="4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 t="s">
        <v>34</v>
      </c>
      <c r="B48" s="42">
        <f t="shared" ref="B48:C48" si="3">SUM(B35:B46)</f>
        <v>1</v>
      </c>
      <c r="C48" s="43">
        <f t="shared" si="3"/>
        <v>36000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4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1" t="s">
        <v>36</v>
      </c>
      <c r="C50" s="47"/>
      <c r="D50" s="7"/>
      <c r="E50" s="32"/>
      <c r="F50" s="30"/>
      <c r="G50" s="2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44">
        <f>IF(D12=1,0,IF(D12=2,0,IF(D12=3,E12,IF(D12=4,E12,IF(D12=5,E12,IF(D12=6,E12,IF(D12=7,E12,IF(D12=8,E12,IF(D12=9,E12,IF(D12=10,E12))))))))))</f>
        <v>16000</v>
      </c>
      <c r="C51" s="48" t="s">
        <v>21</v>
      </c>
      <c r="D51" s="7"/>
      <c r="E51" s="27"/>
      <c r="F51" s="30"/>
      <c r="G51" s="2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 t="s">
        <v>23</v>
      </c>
      <c r="B52" s="51" t="s">
        <v>132</v>
      </c>
      <c r="C52" s="45"/>
      <c r="D52" s="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>
        <v>1.0</v>
      </c>
      <c r="B53" s="36">
        <f>IFERROR(HLOOKUP(B52,'Payout Schedule'!$B$1:$M$13,A53+1,0),"")</f>
        <v>0.22</v>
      </c>
      <c r="C53" s="10">
        <f>IFERROR(B51*B53,"")</f>
        <v>3520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>
        <v>2.0</v>
      </c>
      <c r="B54" s="36">
        <f>IFERROR(HLOOKUP(B52,'Payout Schedule'!$B$1:$M$13,A54+1,0),"")</f>
        <v>0.17</v>
      </c>
      <c r="C54" s="10">
        <f>IFERROR(B51*B54,"")</f>
        <v>2720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>
        <v>3.0</v>
      </c>
      <c r="B55" s="36">
        <f>IFERROR(HLOOKUP(B52,'Payout Schedule'!$B$1:$M$13,A55+1,0),"")</f>
        <v>0.12</v>
      </c>
      <c r="C55" s="10">
        <f>IFERROR(B51*B55,"")</f>
        <v>1920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>
        <v>4.0</v>
      </c>
      <c r="B56" s="36">
        <f>IFERROR(HLOOKUP(B52,'Payout Schedule'!$B$1:$M$13,A56+1,0),"")</f>
        <v>0.09</v>
      </c>
      <c r="C56" s="10">
        <f>IFERROR(B51*B56,"")</f>
        <v>1440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>
        <v>5.0</v>
      </c>
      <c r="B57" s="36">
        <f>IFERROR(HLOOKUP(B52,'Payout Schedule'!$B$1:$M$13,A57+1,0),"")</f>
        <v>0.08</v>
      </c>
      <c r="C57" s="10">
        <f>IFERROR(B51*B57,"")</f>
        <v>1280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>
        <v>6.0</v>
      </c>
      <c r="B58" s="36">
        <f>IFERROR(HLOOKUP(B52,'Payout Schedule'!$B$1:$M$13,A58+1,0),"")</f>
        <v>0.07</v>
      </c>
      <c r="C58" s="10">
        <f>IFERROR(B51*B58,"")</f>
        <v>1120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>
        <v>7.0</v>
      </c>
      <c r="B59" s="36">
        <f>IFERROR(HLOOKUP(B52,'Payout Schedule'!$B$1:$M$13,A59+1,0),"")</f>
        <v>0.06</v>
      </c>
      <c r="C59" s="10">
        <f>IFERROR(B51*B59,"")</f>
        <v>960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>
        <v>8.0</v>
      </c>
      <c r="B60" s="36">
        <f>IFERROR(HLOOKUP(B52,'Payout Schedule'!$B$1:$M$13,A60+1,0),"")</f>
        <v>0.05</v>
      </c>
      <c r="C60" s="10">
        <f>IFERROR(B51*B60,"")</f>
        <v>800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>
        <v>9.0</v>
      </c>
      <c r="B61" s="36">
        <f>IFERROR(HLOOKUP(B52,'Payout Schedule'!$B$1:$M$13,A61+1,0),"")</f>
        <v>0.04</v>
      </c>
      <c r="C61" s="10">
        <f>IFERROR(B51*B61,"")</f>
        <v>640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>
        <v>10.0</v>
      </c>
      <c r="B62" s="36">
        <f>IFERROR(HLOOKUP(B52,'Payout Schedule'!$B$1:$M$13,A62+1,0),"")</f>
        <v>0.04</v>
      </c>
      <c r="C62" s="10">
        <f>IFERROR(B51*B62,"")</f>
        <v>640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>
        <v>11.0</v>
      </c>
      <c r="B63" s="36">
        <f>IFERROR(HLOOKUP(B52,'Payout Schedule'!$B$1:$M$13,A63+1,0),"")</f>
        <v>0.03</v>
      </c>
      <c r="C63" s="10">
        <f>IFERROR(B51*B63,"")</f>
        <v>480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>
        <v>12.0</v>
      </c>
      <c r="B64" s="36">
        <f>IFERROR(HLOOKUP(B52,'Payout Schedule'!$B$1:$M$13,A64+1,0),"")</f>
        <v>0.03</v>
      </c>
      <c r="C64" s="10">
        <f>IFERROR(B51*B64,"")</f>
        <v>480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14"/>
      <c r="C65" s="4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 t="s">
        <v>34</v>
      </c>
      <c r="B66" s="42">
        <f t="shared" ref="B66:C66" si="4">SUM(B53:B64)</f>
        <v>1</v>
      </c>
      <c r="C66" s="43">
        <f t="shared" si="4"/>
        <v>16000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4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1" t="s">
        <v>37</v>
      </c>
      <c r="C68" s="47"/>
      <c r="D68" s="7"/>
      <c r="E68" s="32"/>
      <c r="F68" s="30"/>
      <c r="G68" s="27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44">
        <f>IF(D12=1,0,IF(D12=2,0,IF(D12=3,0,IF(D12=4,E12,IF(D12=5,E12,IF(D12=6,E12,IF(D12=7,E12,IF(D12=8,E12,IF(D12=9,E12,IF(D12=10,E12))))))))))</f>
        <v>16000</v>
      </c>
      <c r="C69" s="48" t="s">
        <v>21</v>
      </c>
      <c r="D69" s="7"/>
      <c r="E69" s="27"/>
      <c r="F69" s="30"/>
      <c r="G69" s="27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 t="s">
        <v>23</v>
      </c>
      <c r="B70" s="51" t="s">
        <v>132</v>
      </c>
      <c r="C70" s="45"/>
      <c r="D70" s="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>
        <v>1.0</v>
      </c>
      <c r="B71" s="36">
        <f>IFERROR(HLOOKUP(B70,'Payout Schedule'!$B$1:$M$13,A71+1,0),"")</f>
        <v>0.22</v>
      </c>
      <c r="C71" s="10">
        <f>IFERROR(B69*B71,"")</f>
        <v>3520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>
        <v>2.0</v>
      </c>
      <c r="B72" s="36">
        <f>IFERROR(HLOOKUP(B70,'Payout Schedule'!$B$1:$M$13,A72+1,0),"")</f>
        <v>0.17</v>
      </c>
      <c r="C72" s="10">
        <f>IFERROR(B69*B72,"")</f>
        <v>2720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>
        <v>3.0</v>
      </c>
      <c r="B73" s="36">
        <f>IFERROR(HLOOKUP(B70,'Payout Schedule'!$B$1:$M$13,A73+1,0),"")</f>
        <v>0.12</v>
      </c>
      <c r="C73" s="10">
        <f>IFERROR(B69*B73,"")</f>
        <v>1920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>
        <v>4.0</v>
      </c>
      <c r="B74" s="36">
        <f>IFERROR(HLOOKUP(B70,'Payout Schedule'!$B$1:$M$13,A74+1,0),"")</f>
        <v>0.09</v>
      </c>
      <c r="C74" s="10">
        <f>IFERROR(B69*B74,"")</f>
        <v>1440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>
        <v>5.0</v>
      </c>
      <c r="B75" s="36">
        <f>IFERROR(HLOOKUP(B70,'Payout Schedule'!$B$1:$M$13,A75+1,0),"")</f>
        <v>0.08</v>
      </c>
      <c r="C75" s="10">
        <f>IFERROR(B69*B75,"")</f>
        <v>1280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>
        <v>6.0</v>
      </c>
      <c r="B76" s="36">
        <f>IFERROR(HLOOKUP(B70,'Payout Schedule'!$B$1:$M$13,A76+1,0),"")</f>
        <v>0.07</v>
      </c>
      <c r="C76" s="10">
        <f>IFERROR(B69*B76,"")</f>
        <v>1120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>
        <v>7.0</v>
      </c>
      <c r="B77" s="36">
        <f>IFERROR(HLOOKUP(B70,'Payout Schedule'!$B$1:$M$13,A77+1,0),"")</f>
        <v>0.06</v>
      </c>
      <c r="C77" s="10">
        <f>IFERROR(B69*B77,"")</f>
        <v>960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>
        <v>8.0</v>
      </c>
      <c r="B78" s="36">
        <f>IFERROR(HLOOKUP(B70,'Payout Schedule'!$B$1:$M$13,A78+1,0),"")</f>
        <v>0.05</v>
      </c>
      <c r="C78" s="10">
        <f>IFERROR(B69*B78,"")</f>
        <v>800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>
        <v>9.0</v>
      </c>
      <c r="B79" s="36">
        <f>IFERROR(HLOOKUP(B70,'Payout Schedule'!$B$1:$M$13,A79+1,0),"")</f>
        <v>0.04</v>
      </c>
      <c r="C79" s="10">
        <f>IFERROR(B69*B79,"")</f>
        <v>640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>
        <v>10.0</v>
      </c>
      <c r="B80" s="36">
        <f>IFERROR(HLOOKUP(B70,'Payout Schedule'!$B$1:$M$13,A80+1,0),"")</f>
        <v>0.04</v>
      </c>
      <c r="C80" s="10">
        <f>IFERROR(B69*B80,"")</f>
        <v>640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>
        <v>11.0</v>
      </c>
      <c r="B81" s="36">
        <f>IFERROR(HLOOKUP(B70,'Payout Schedule'!$B$1:$M$13,A81+1,0),"")</f>
        <v>0.03</v>
      </c>
      <c r="C81" s="10">
        <f>IFERROR(B69*B81,"")</f>
        <v>480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>
        <v>12.0</v>
      </c>
      <c r="B82" s="36">
        <f>IFERROR(HLOOKUP(B70,'Payout Schedule'!$B$1:$M$13,A82+1,0),"")</f>
        <v>0.03</v>
      </c>
      <c r="C82" s="10">
        <f>IFERROR(B69*B82,"")</f>
        <v>480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14"/>
      <c r="C83" s="4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 t="s">
        <v>34</v>
      </c>
      <c r="B84" s="42">
        <f t="shared" ref="B84:C84" si="5">SUM(B71:B82)</f>
        <v>1</v>
      </c>
      <c r="C84" s="43">
        <f t="shared" si="5"/>
        <v>16000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4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1" t="s">
        <v>38</v>
      </c>
      <c r="C86" s="47"/>
      <c r="D86" s="7"/>
      <c r="E86" s="32"/>
      <c r="F86" s="30"/>
      <c r="G86" s="2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44">
        <f>IF(D12=1,0,IF(D12=2,0,IF(D12=3,0,IF(D12=4,0,IF(D12=5,E12,IF(D12=6,E12,IF(D12=7,E12,IF(D12=8,E12,IF(D12=9,E12,IF(D12=10,E12))))))))))</f>
        <v>16000</v>
      </c>
      <c r="C87" s="48" t="s">
        <v>21</v>
      </c>
      <c r="D87" s="7"/>
      <c r="E87" s="27"/>
      <c r="F87" s="30"/>
      <c r="G87" s="2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 t="s">
        <v>23</v>
      </c>
      <c r="B88" s="51" t="s">
        <v>132</v>
      </c>
      <c r="C88" s="45"/>
      <c r="D88" s="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>
        <v>1.0</v>
      </c>
      <c r="B89" s="36">
        <f>IFERROR(HLOOKUP(B88,'Payout Schedule'!$B$1:$M$13,A89+1,0),"")</f>
        <v>0.22</v>
      </c>
      <c r="C89" s="10">
        <f>IFERROR(B87*B89,"")</f>
        <v>3520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>
        <v>2.0</v>
      </c>
      <c r="B90" s="36">
        <f>IFERROR(HLOOKUP(B88,'Payout Schedule'!$B$1:$M$13,A90+1,0),"")</f>
        <v>0.17</v>
      </c>
      <c r="C90" s="10">
        <f>IFERROR(B87*B90,"")</f>
        <v>2720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>
        <v>3.0</v>
      </c>
      <c r="B91" s="36">
        <f>IFERROR(HLOOKUP(B88,'Payout Schedule'!$B$1:$M$13,A91+1,0),"")</f>
        <v>0.12</v>
      </c>
      <c r="C91" s="10">
        <f>IFERROR(B87*B91,"")</f>
        <v>1920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>
        <v>4.0</v>
      </c>
      <c r="B92" s="36">
        <f>IFERROR(HLOOKUP(B88,'Payout Schedule'!$B$1:$M$13,A92+1,0),"")</f>
        <v>0.09</v>
      </c>
      <c r="C92" s="10">
        <f>IFERROR(B87*B92,"")</f>
        <v>1440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>
        <v>5.0</v>
      </c>
      <c r="B93" s="36">
        <f>IFERROR(HLOOKUP(B88,'Payout Schedule'!$B$1:$M$13,A93+1,0),"")</f>
        <v>0.08</v>
      </c>
      <c r="C93" s="10">
        <f>IFERROR(B87*B93,"")</f>
        <v>1280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>
        <v>6.0</v>
      </c>
      <c r="B94" s="36">
        <f>IFERROR(HLOOKUP(B88,'Payout Schedule'!$B$1:$M$13,A94+1,0),"")</f>
        <v>0.07</v>
      </c>
      <c r="C94" s="10">
        <f>IFERROR(B87*B94,"")</f>
        <v>1120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>
        <v>7.0</v>
      </c>
      <c r="B95" s="36">
        <f>IFERROR(HLOOKUP(B88,'Payout Schedule'!$B$1:$M$13,A95+1,0),"")</f>
        <v>0.06</v>
      </c>
      <c r="C95" s="10">
        <f>IFERROR(B87*B95,"")</f>
        <v>960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>
        <v>8.0</v>
      </c>
      <c r="B96" s="36">
        <f>IFERROR(HLOOKUP(B88,'Payout Schedule'!$B$1:$M$13,A96+1,0),"")</f>
        <v>0.05</v>
      </c>
      <c r="C96" s="10">
        <f>IFERROR(B87*B96,"")</f>
        <v>800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>
        <v>9.0</v>
      </c>
      <c r="B97" s="36">
        <f>IFERROR(HLOOKUP(B88,'Payout Schedule'!$B$1:$M$13,A97+1,0),"")</f>
        <v>0.04</v>
      </c>
      <c r="C97" s="10">
        <f>IFERROR(B87*B97,"")</f>
        <v>640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>
        <v>10.0</v>
      </c>
      <c r="B98" s="36">
        <f>IFERROR(HLOOKUP(B88,'Payout Schedule'!$B$1:$M$13,A98+1,0),"")</f>
        <v>0.04</v>
      </c>
      <c r="C98" s="10">
        <f>IFERROR(B87*B98,"")</f>
        <v>640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>
        <v>11.0</v>
      </c>
      <c r="B99" s="36">
        <f>IFERROR(HLOOKUP(B88,'Payout Schedule'!$B$1:$M$13,A99+1,0),"")</f>
        <v>0.03</v>
      </c>
      <c r="C99" s="10">
        <f>IFERROR(B87*B99,"")</f>
        <v>480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>
        <v>12.0</v>
      </c>
      <c r="B100" s="36">
        <f>IFERROR(HLOOKUP(B88,'Payout Schedule'!$B$1:$M$13,A100+1,0),"")</f>
        <v>0.03</v>
      </c>
      <c r="C100" s="10">
        <f>IFERROR(B87*B100,"")</f>
        <v>480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14"/>
      <c r="C101" s="4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 t="s">
        <v>34</v>
      </c>
      <c r="B102" s="42">
        <f t="shared" ref="B102:C102" si="6">SUM(B89:B100)</f>
        <v>1</v>
      </c>
      <c r="C102" s="43">
        <f t="shared" si="6"/>
        <v>16000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4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4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1" t="s">
        <v>134</v>
      </c>
      <c r="C105" s="4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44">
        <f>IF(D12=1,0,IF(D12=2,0,IF(D12=3,0,IF(D12=4,0,IF(D12=5,0,IF(D12=6,E12,IF(D12=7,E12,IF(D12=8,E12,IF(D12=9,E12,IF(D12=10,E12))))))))))</f>
        <v>16000</v>
      </c>
      <c r="C106" s="48" t="s">
        <v>21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 t="s">
        <v>23</v>
      </c>
      <c r="B107" s="51" t="s">
        <v>132</v>
      </c>
      <c r="C107" s="4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>
        <v>1.0</v>
      </c>
      <c r="B108" s="36">
        <f>IFERROR(HLOOKUP(B107,'Payout Schedule'!$B$1:$M$13,A108+1,0),"")</f>
        <v>0.22</v>
      </c>
      <c r="C108" s="10">
        <f>IFERROR(B106*B108,"")</f>
        <v>3520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>
        <v>2.0</v>
      </c>
      <c r="B109" s="36">
        <f>IFERROR(HLOOKUP(B107,'Payout Schedule'!$B$1:$M$13,A109+1,0),"")</f>
        <v>0.17</v>
      </c>
      <c r="C109" s="10">
        <f>IFERROR(B106*B109,"")</f>
        <v>2720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>
        <v>3.0</v>
      </c>
      <c r="B110" s="36">
        <f>IFERROR(HLOOKUP(B107,'Payout Schedule'!$B$1:$M$13,A110+1,0),"")</f>
        <v>0.12</v>
      </c>
      <c r="C110" s="10">
        <f>IFERROR(B106*B110,"")</f>
        <v>1920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>
        <v>4.0</v>
      </c>
      <c r="B111" s="36">
        <f>IFERROR(HLOOKUP(B107,'Payout Schedule'!$B$1:$M$13,A111+1,0),"")</f>
        <v>0.09</v>
      </c>
      <c r="C111" s="10">
        <f>IFERROR(B106*B111,"")</f>
        <v>1440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>
        <v>5.0</v>
      </c>
      <c r="B112" s="36">
        <f>IFERROR(HLOOKUP(B107,'Payout Schedule'!$B$1:$M$13,A112+1,0),"")</f>
        <v>0.08</v>
      </c>
      <c r="C112" s="10">
        <f>IFERROR(B106*B112,"")</f>
        <v>1280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>
        <v>6.0</v>
      </c>
      <c r="B113" s="36">
        <f>IFERROR(HLOOKUP(B107,'Payout Schedule'!$B$1:$M$13,A113+1,0),"")</f>
        <v>0.07</v>
      </c>
      <c r="C113" s="10">
        <f>IFERROR(B106*B113,"")</f>
        <v>1120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>
        <v>7.0</v>
      </c>
      <c r="B114" s="36">
        <f>IFERROR(HLOOKUP(B107,'Payout Schedule'!$B$1:$M$13,A114+1,0),"")</f>
        <v>0.06</v>
      </c>
      <c r="C114" s="10">
        <f>IFERROR(B106*B114,"")</f>
        <v>960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>
        <v>8.0</v>
      </c>
      <c r="B115" s="36">
        <f>IFERROR(HLOOKUP(B107,'Payout Schedule'!$B$1:$M$13,A115+1,0),"")</f>
        <v>0.05</v>
      </c>
      <c r="C115" s="10">
        <f>IFERROR(B106*B115,"")</f>
        <v>800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>
        <v>9.0</v>
      </c>
      <c r="B116" s="36">
        <f>IFERROR(HLOOKUP(B107,'Payout Schedule'!$B$1:$M$13,A116+1,0),"")</f>
        <v>0.04</v>
      </c>
      <c r="C116" s="10">
        <f>IFERROR(B106*B116,"")</f>
        <v>640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>
        <v>10.0</v>
      </c>
      <c r="B117" s="36">
        <f>IFERROR(HLOOKUP(B107,'Payout Schedule'!$B$1:$M$13,A117+1,0),"")</f>
        <v>0.04</v>
      </c>
      <c r="C117" s="10">
        <f>IFERROR(B106*B117,"")</f>
        <v>640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>
        <v>11.0</v>
      </c>
      <c r="B118" s="36">
        <f>IFERROR(HLOOKUP(B107,'Payout Schedule'!$B$1:$M$13,A118+1,0),"")</f>
        <v>0.03</v>
      </c>
      <c r="C118" s="10">
        <f>IFERROR(B106*B118,"")</f>
        <v>480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>
        <v>12.0</v>
      </c>
      <c r="B119" s="36">
        <f>IFERROR(HLOOKUP(B107,'Payout Schedule'!$B$1:$M$13,A119+1,0),"")</f>
        <v>0.03</v>
      </c>
      <c r="C119" s="10">
        <f>IFERROR(B106*B119,"")</f>
        <v>480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14"/>
      <c r="C120" s="4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 t="s">
        <v>34</v>
      </c>
      <c r="B121" s="42">
        <f t="shared" ref="B121:C121" si="7">SUM(B108:B119)</f>
        <v>1</v>
      </c>
      <c r="C121" s="43">
        <f t="shared" si="7"/>
        <v>16000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1" t="s">
        <v>135</v>
      </c>
      <c r="C123" s="4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44">
        <f>IF(D12=1,0,IF(D12=2,0,IF(D12=3,0,IF(D12=4,0,IF(D12=5,0,IF(D12=6,0,IF(D12=7,E12,IF(D12=8,E12,IF(D12=9,E12,IF(D12=10,E12))))))))))</f>
        <v>16000</v>
      </c>
      <c r="C124" s="48" t="s">
        <v>21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 t="s">
        <v>23</v>
      </c>
      <c r="B125" s="51" t="s">
        <v>132</v>
      </c>
      <c r="C125" s="4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>
        <v>1.0</v>
      </c>
      <c r="B126" s="36">
        <f>IFERROR(HLOOKUP(B125,'Payout Schedule'!$B$1:$M$13,A126+1,0),"")</f>
        <v>0.22</v>
      </c>
      <c r="C126" s="10">
        <f>IFERROR(B124*B126,"")</f>
        <v>3520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>
        <v>2.0</v>
      </c>
      <c r="B127" s="36">
        <f>IFERROR(HLOOKUP(B125,'Payout Schedule'!$B$1:$M$13,A127+1,0),"")</f>
        <v>0.17</v>
      </c>
      <c r="C127" s="10">
        <f>IFERROR(B124*B127,"")</f>
        <v>2720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>
        <v>3.0</v>
      </c>
      <c r="B128" s="36">
        <f>IFERROR(HLOOKUP(B125,'Payout Schedule'!$B$1:$M$13,A128+1,0),"")</f>
        <v>0.12</v>
      </c>
      <c r="C128" s="10">
        <f>IFERROR(B124*B128,"")</f>
        <v>1920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>
        <v>4.0</v>
      </c>
      <c r="B129" s="36">
        <f>IFERROR(HLOOKUP(B125,'Payout Schedule'!$B$1:$M$13,A129+1,0),"")</f>
        <v>0.09</v>
      </c>
      <c r="C129" s="10">
        <f>IFERROR(B124*B129,"")</f>
        <v>1440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>
        <v>5.0</v>
      </c>
      <c r="B130" s="36">
        <f>IFERROR(HLOOKUP(B125,'Payout Schedule'!$B$1:$M$13,A130+1,0),"")</f>
        <v>0.08</v>
      </c>
      <c r="C130" s="10">
        <f>IFERROR(B124*B130,"")</f>
        <v>1280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>
        <v>6.0</v>
      </c>
      <c r="B131" s="36">
        <f>IFERROR(HLOOKUP(B125,'Payout Schedule'!$B$1:$M$13,A131+1,0),"")</f>
        <v>0.07</v>
      </c>
      <c r="C131" s="10">
        <f>IFERROR(B124*B131,"")</f>
        <v>1120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>
        <v>7.0</v>
      </c>
      <c r="B132" s="36">
        <f>IFERROR(HLOOKUP(B125,'Payout Schedule'!$B$1:$M$13,A132+1,0),"")</f>
        <v>0.06</v>
      </c>
      <c r="C132" s="10">
        <f>IFERROR(B124*B132,"")</f>
        <v>960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>
        <v>8.0</v>
      </c>
      <c r="B133" s="36">
        <f>IFERROR(HLOOKUP(B125,'Payout Schedule'!$B$1:$M$13,A133+1,0),"")</f>
        <v>0.05</v>
      </c>
      <c r="C133" s="10">
        <f>IFERROR(B124*B133,"")</f>
        <v>800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>
        <v>9.0</v>
      </c>
      <c r="B134" s="36">
        <f>IFERROR(HLOOKUP(B125,'Payout Schedule'!$B$1:$M$13,A134+1,0),"")</f>
        <v>0.04</v>
      </c>
      <c r="C134" s="10">
        <f>IFERROR(B124*B134,"")</f>
        <v>640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>
        <v>10.0</v>
      </c>
      <c r="B135" s="36">
        <f>IFERROR(HLOOKUP(B125,'Payout Schedule'!$B$1:$M$13,A135+1,0),"")</f>
        <v>0.04</v>
      </c>
      <c r="C135" s="10">
        <f>IFERROR(B124*B135,"")</f>
        <v>640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>
        <v>11.0</v>
      </c>
      <c r="B136" s="36">
        <f>IFERROR(HLOOKUP(B125,'Payout Schedule'!$B$1:$M$13,A136+1,0),"")</f>
        <v>0.03</v>
      </c>
      <c r="C136" s="10">
        <f>IFERROR(B124*B136,"")</f>
        <v>480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>
        <v>12.0</v>
      </c>
      <c r="B137" s="36">
        <f>IFERROR(HLOOKUP(B125,'Payout Schedule'!$B$1:$M$13,A137+1,0),"")</f>
        <v>0.03</v>
      </c>
      <c r="C137" s="10">
        <f>IFERROR(B124*B137,"")</f>
        <v>480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14"/>
      <c r="C138" s="4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 t="s">
        <v>34</v>
      </c>
      <c r="B139" s="42">
        <f t="shared" ref="B139:C139" si="8">SUM(B126:B137)</f>
        <v>1</v>
      </c>
      <c r="C139" s="43">
        <f t="shared" si="8"/>
        <v>16000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1" t="s">
        <v>136</v>
      </c>
      <c r="C141" s="4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44">
        <f>IF(D12=1,0,IF(D12=2,0,IF(D12=3,0,IF(D12=4,0,IF(D12=5,0,IF(D12=6,0,IF(D12=7,0,IF(D12=8,E12,IF(D12=9,E12,IF(D12=10,E12))))))))))</f>
        <v>16000</v>
      </c>
      <c r="C142" s="48" t="s">
        <v>21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 t="s">
        <v>23</v>
      </c>
      <c r="B143" s="51" t="s">
        <v>132</v>
      </c>
      <c r="C143" s="4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>
        <v>1.0</v>
      </c>
      <c r="B144" s="36">
        <f>IFERROR(HLOOKUP(B143,'Payout Schedule'!$B$1:$M$13,A144+1,0),"")</f>
        <v>0.22</v>
      </c>
      <c r="C144" s="10">
        <f>IFERROR(B142*B144,"")</f>
        <v>3520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>
        <v>2.0</v>
      </c>
      <c r="B145" s="36">
        <f>IFERROR(HLOOKUP(B143,'Payout Schedule'!$B$1:$M$13,A145+1,0),"")</f>
        <v>0.17</v>
      </c>
      <c r="C145" s="10">
        <f>IFERROR(B142*B145,"")</f>
        <v>2720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>
        <v>3.0</v>
      </c>
      <c r="B146" s="36">
        <f>IFERROR(HLOOKUP(B143,'Payout Schedule'!$B$1:$M$13,A146+1,0),"")</f>
        <v>0.12</v>
      </c>
      <c r="C146" s="10">
        <f>IFERROR(B142*B146,"")</f>
        <v>1920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>
        <v>4.0</v>
      </c>
      <c r="B147" s="36">
        <f>IFERROR(HLOOKUP(B143,'Payout Schedule'!$B$1:$M$13,A147+1,0),"")</f>
        <v>0.09</v>
      </c>
      <c r="C147" s="10">
        <f>IFERROR(B142*B147,"")</f>
        <v>1440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>
        <v>5.0</v>
      </c>
      <c r="B148" s="36">
        <f>IFERROR(HLOOKUP(B143,'Payout Schedule'!$B$1:$M$13,A148+1,0),"")</f>
        <v>0.08</v>
      </c>
      <c r="C148" s="10">
        <f>IFERROR(B142*B148,"")</f>
        <v>1280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>
        <v>6.0</v>
      </c>
      <c r="B149" s="36">
        <f>IFERROR(HLOOKUP(B143,'Payout Schedule'!$B$1:$M$13,A149+1,0),"")</f>
        <v>0.07</v>
      </c>
      <c r="C149" s="10">
        <f>IFERROR(B142*B149,"")</f>
        <v>1120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>
        <v>7.0</v>
      </c>
      <c r="B150" s="36">
        <f>IFERROR(HLOOKUP(B143,'Payout Schedule'!$B$1:$M$13,A150+1,0),"")</f>
        <v>0.06</v>
      </c>
      <c r="C150" s="10">
        <f>IFERROR(B142*B150,"")</f>
        <v>960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>
        <v>8.0</v>
      </c>
      <c r="B151" s="36">
        <f>IFERROR(HLOOKUP(B143,'Payout Schedule'!$B$1:$M$13,A151+1,0),"")</f>
        <v>0.05</v>
      </c>
      <c r="C151" s="10">
        <f>IFERROR(B142*B151,"")</f>
        <v>800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>
        <v>9.0</v>
      </c>
      <c r="B152" s="36">
        <f>IFERROR(HLOOKUP(B143,'Payout Schedule'!$B$1:$M$13,A152+1,0),"")</f>
        <v>0.04</v>
      </c>
      <c r="C152" s="10">
        <f>IFERROR(B142*B152,"")</f>
        <v>640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>
        <v>10.0</v>
      </c>
      <c r="B153" s="36">
        <f>IFERROR(HLOOKUP(B143,'Payout Schedule'!$B$1:$M$13,A153+1,0),"")</f>
        <v>0.04</v>
      </c>
      <c r="C153" s="10">
        <f>IFERROR(B142*B153,"")</f>
        <v>640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>
        <v>11.0</v>
      </c>
      <c r="B154" s="36">
        <f>IFERROR(HLOOKUP(B143,'Payout Schedule'!$B$1:$M$13,A154+1,0),"")</f>
        <v>0.03</v>
      </c>
      <c r="C154" s="10">
        <f>IFERROR(B142*B154,"")</f>
        <v>480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>
        <v>12.0</v>
      </c>
      <c r="B155" s="36">
        <f>IFERROR(HLOOKUP(B143,'Payout Schedule'!$B$1:$M$13,A155+1,0),"")</f>
        <v>0.03</v>
      </c>
      <c r="C155" s="10">
        <f>IFERROR(B142*B155,"")</f>
        <v>480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14"/>
      <c r="C156" s="4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 t="s">
        <v>34</v>
      </c>
      <c r="B157" s="42">
        <f t="shared" ref="B157:C157" si="9">SUM(B144:B155)</f>
        <v>1</v>
      </c>
      <c r="C157" s="43">
        <f t="shared" si="9"/>
        <v>16000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1" t="s">
        <v>137</v>
      </c>
      <c r="C159" s="4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44">
        <f>IF(D12=1,0,IF(D12=2,0,IF(D12=3,0,IF(D12=4,0,IF(D12=5,0,IF(D12=6,0,IF(D12=7,0,IF(D12=8,0,IF(D12=9,E12,IF(D12=10,E12))))))))))</f>
        <v>16000</v>
      </c>
      <c r="C160" s="48" t="s">
        <v>21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 t="s">
        <v>23</v>
      </c>
      <c r="B161" s="51" t="s">
        <v>132</v>
      </c>
      <c r="C161" s="4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>
        <v>1.0</v>
      </c>
      <c r="B162" s="36">
        <f>IFERROR(HLOOKUP(B161,'Payout Schedule'!$B$1:$M$13,A162+1,0),"")</f>
        <v>0.22</v>
      </c>
      <c r="C162" s="10">
        <f>IFERROR(B160*B162,"")</f>
        <v>3520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>
        <v>2.0</v>
      </c>
      <c r="B163" s="36">
        <f>IFERROR(HLOOKUP(B161,'Payout Schedule'!$B$1:$M$13,A163+1,0),"")</f>
        <v>0.17</v>
      </c>
      <c r="C163" s="10">
        <f>IFERROR(B160*B163,"")</f>
        <v>2720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>
        <v>3.0</v>
      </c>
      <c r="B164" s="36">
        <f>IFERROR(HLOOKUP(B161,'Payout Schedule'!$B$1:$M$13,A164+1,0),"")</f>
        <v>0.12</v>
      </c>
      <c r="C164" s="10">
        <f>IFERROR(B160*B164,"")</f>
        <v>1920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>
        <v>4.0</v>
      </c>
      <c r="B165" s="36">
        <f>IFERROR(HLOOKUP(B161,'Payout Schedule'!$B$1:$M$13,A165+1,0),"")</f>
        <v>0.09</v>
      </c>
      <c r="C165" s="10">
        <f>IFERROR(B160*B165,"")</f>
        <v>1440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>
        <v>5.0</v>
      </c>
      <c r="B166" s="36">
        <f>IFERROR(HLOOKUP(B161,'Payout Schedule'!$B$1:$M$13,A166+1,0),"")</f>
        <v>0.08</v>
      </c>
      <c r="C166" s="10">
        <f>IFERROR(B160*B166,"")</f>
        <v>1280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>
        <v>6.0</v>
      </c>
      <c r="B167" s="36">
        <f>IFERROR(HLOOKUP(B161,'Payout Schedule'!$B$1:$M$13,A167+1,0),"")</f>
        <v>0.07</v>
      </c>
      <c r="C167" s="10">
        <f>IFERROR(B160*B167,"")</f>
        <v>1120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>
        <v>7.0</v>
      </c>
      <c r="B168" s="36">
        <f>IFERROR(HLOOKUP(B161,'Payout Schedule'!$B$1:$M$13,A168+1,0),"")</f>
        <v>0.06</v>
      </c>
      <c r="C168" s="10">
        <f>IFERROR(B160*B168,"")</f>
        <v>960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>
        <v>8.0</v>
      </c>
      <c r="B169" s="36">
        <f>IFERROR(HLOOKUP(B161,'Payout Schedule'!$B$1:$M$13,A169+1,0),"")</f>
        <v>0.05</v>
      </c>
      <c r="C169" s="10">
        <f>IFERROR(B160*B169,"")</f>
        <v>800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>
        <v>9.0</v>
      </c>
      <c r="B170" s="36">
        <f>IFERROR(HLOOKUP(B161,'Payout Schedule'!$B$1:$M$13,A170+1,0),"")</f>
        <v>0.04</v>
      </c>
      <c r="C170" s="10">
        <f>IFERROR(B160*B170,"")</f>
        <v>640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>
        <v>10.0</v>
      </c>
      <c r="B171" s="36">
        <f>IFERROR(HLOOKUP(B161,'Payout Schedule'!$B$1:$M$13,A171+1,0),"")</f>
        <v>0.04</v>
      </c>
      <c r="C171" s="10">
        <f>IFERROR(B160*B171,"")</f>
        <v>640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>
        <v>11.0</v>
      </c>
      <c r="B172" s="36">
        <f>IFERROR(HLOOKUP(B161,'Payout Schedule'!$B$1:$M$13,A172+1,0),"")</f>
        <v>0.03</v>
      </c>
      <c r="C172" s="10">
        <f>IFERROR(B160*B172,"")</f>
        <v>480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>
        <v>12.0</v>
      </c>
      <c r="B173" s="36">
        <f>IFERROR(HLOOKUP(B161,'Payout Schedule'!$B$1:$M$13,A173+1,0),"")</f>
        <v>0.03</v>
      </c>
      <c r="C173" s="10">
        <f>IFERROR(B160*B173,"")</f>
        <v>480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14"/>
      <c r="C174" s="4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 t="s">
        <v>34</v>
      </c>
      <c r="B175" s="42">
        <f t="shared" ref="B175:C175" si="10">SUM(B162:B173)</f>
        <v>1</v>
      </c>
      <c r="C175" s="43">
        <f t="shared" si="10"/>
        <v>16000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1" t="s">
        <v>138</v>
      </c>
      <c r="C177" s="4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44">
        <f>IF(D12=1,0,IF(D12=2,0,IF(D12=3,0,IF(D12=4,0,IF(D12=5,0,IF(D12=6,0,IF(D12=7,0,IF(D12=8,0,IF(D12=9,0,IF(D12=10,E12))))))))))</f>
        <v>16000</v>
      </c>
      <c r="C178" s="48" t="s">
        <v>21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 t="s">
        <v>23</v>
      </c>
      <c r="B179" s="51" t="s">
        <v>132</v>
      </c>
      <c r="C179" s="4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>
        <v>1.0</v>
      </c>
      <c r="B180" s="36">
        <f>IFERROR(HLOOKUP(B179,'Payout Schedule'!$B$1:$M$13,A180+1,0),"")</f>
        <v>0.22</v>
      </c>
      <c r="C180" s="10">
        <f>IFERROR(B178*B180,"")</f>
        <v>3520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>
        <v>2.0</v>
      </c>
      <c r="B181" s="36">
        <f>IFERROR(HLOOKUP(B179,'Payout Schedule'!$B$1:$M$13,A181+1,0),"")</f>
        <v>0.17</v>
      </c>
      <c r="C181" s="10">
        <f>IFERROR(B178*B181,"")</f>
        <v>2720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>
        <v>3.0</v>
      </c>
      <c r="B182" s="36">
        <f>IFERROR(HLOOKUP(B179,'Payout Schedule'!$B$1:$M$13,A182+1,0),"")</f>
        <v>0.12</v>
      </c>
      <c r="C182" s="10">
        <f>IFERROR(B178*B182,"")</f>
        <v>1920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>
        <v>4.0</v>
      </c>
      <c r="B183" s="36">
        <f>IFERROR(HLOOKUP(B179,'Payout Schedule'!$B$1:$M$13,A183+1,0),"")</f>
        <v>0.09</v>
      </c>
      <c r="C183" s="10">
        <f>IFERROR(B178*B183,"")</f>
        <v>1440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>
        <v>5.0</v>
      </c>
      <c r="B184" s="36">
        <f>IFERROR(HLOOKUP(B179,'Payout Schedule'!$B$1:$M$13,A184+1,0),"")</f>
        <v>0.08</v>
      </c>
      <c r="C184" s="10">
        <f>IFERROR(B178*B184,"")</f>
        <v>1280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>
        <v>6.0</v>
      </c>
      <c r="B185" s="36">
        <f>IFERROR(HLOOKUP(B179,'Payout Schedule'!$B$1:$M$13,A185+1,0),"")</f>
        <v>0.07</v>
      </c>
      <c r="C185" s="10">
        <f>IFERROR(B178*B185,"")</f>
        <v>1120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>
        <v>7.0</v>
      </c>
      <c r="B186" s="36">
        <f>IFERROR(HLOOKUP(B179,'Payout Schedule'!$B$1:$M$13,A186+1,0),"")</f>
        <v>0.06</v>
      </c>
      <c r="C186" s="10">
        <f>IFERROR(B178*B186,"")</f>
        <v>960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>
        <v>8.0</v>
      </c>
      <c r="B187" s="36">
        <f>IFERROR(HLOOKUP(B179,'Payout Schedule'!$B$1:$M$13,A187+1,0),"")</f>
        <v>0.05</v>
      </c>
      <c r="C187" s="10">
        <f>IFERROR(B178*B187,"")</f>
        <v>800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>
        <v>9.0</v>
      </c>
      <c r="B188" s="36">
        <f>IFERROR(HLOOKUP(B179,'Payout Schedule'!$B$1:$M$13,A188+1,0),"")</f>
        <v>0.04</v>
      </c>
      <c r="C188" s="10">
        <f>IFERROR(B178*B188,"")</f>
        <v>640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>
        <v>10.0</v>
      </c>
      <c r="B189" s="36">
        <f>IFERROR(HLOOKUP(B179,'Payout Schedule'!$B$1:$M$13,A189+1,0),"")</f>
        <v>0.04</v>
      </c>
      <c r="C189" s="10">
        <f>IFERROR(B178*B189,"")</f>
        <v>640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>
        <v>11.0</v>
      </c>
      <c r="B190" s="36">
        <f>IFERROR(HLOOKUP(B179,'Payout Schedule'!$B$1:$M$13,A190+1,0),"")</f>
        <v>0.03</v>
      </c>
      <c r="C190" s="10">
        <f>IFERROR(B178*B190,"")</f>
        <v>480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>
        <v>12.0</v>
      </c>
      <c r="B191" s="36">
        <f>IFERROR(HLOOKUP(B179,'Payout Schedule'!$B$1:$M$13,A191+1,0),"")</f>
        <v>0.03</v>
      </c>
      <c r="C191" s="10">
        <f>IFERROR(B178*B191,"")</f>
        <v>480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14"/>
      <c r="C192" s="4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 t="s">
        <v>34</v>
      </c>
      <c r="B193" s="42">
        <f t="shared" ref="B193:C193" si="11">SUM(B180:B191)</f>
        <v>1</v>
      </c>
      <c r="C193" s="43">
        <f t="shared" si="11"/>
        <v>16000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6 B34 B52 B70 B88 B107 B125 B143 B161 B179">
      <formula1>'Payout Schedule'!$B$1:$M$1</formula1>
    </dataValidation>
    <dataValidation type="list" allowBlank="1" showErrorMessage="1" sqref="D12">
      <formula1>"1,2,3,4,5,6,7,8,9,10"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4" t="s">
        <v>139</v>
      </c>
      <c r="B1" s="84" t="s">
        <v>140</v>
      </c>
      <c r="C1" s="84" t="s">
        <v>141</v>
      </c>
      <c r="D1" s="84" t="s">
        <v>142</v>
      </c>
      <c r="E1" s="84" t="s">
        <v>143</v>
      </c>
      <c r="F1" s="84" t="s">
        <v>34</v>
      </c>
    </row>
    <row r="2">
      <c r="A2" s="12">
        <v>200000.0</v>
      </c>
      <c r="B2" s="12">
        <v>200000.0</v>
      </c>
      <c r="C2" s="12">
        <v>200000.0</v>
      </c>
      <c r="D2" s="12">
        <v>200000.0</v>
      </c>
      <c r="E2" s="12">
        <v>200000.0</v>
      </c>
      <c r="F2" s="12">
        <f>sum(A2:E2)</f>
        <v>1000000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</cols>
  <sheetData>
    <row r="1">
      <c r="A1" s="84" t="s">
        <v>144</v>
      </c>
    </row>
    <row r="2">
      <c r="A2" s="84" t="s">
        <v>145</v>
      </c>
      <c r="B2" s="12">
        <f>'Master Calculator'!G14</f>
        <v>0</v>
      </c>
    </row>
    <row r="3">
      <c r="A3" s="84" t="s">
        <v>146</v>
      </c>
      <c r="B3" s="12">
        <f>'Master Calculator'!I10</f>
        <v>3600</v>
      </c>
    </row>
    <row r="5">
      <c r="A5" s="84" t="s">
        <v>147</v>
      </c>
      <c r="B5" s="12">
        <f>'Master Calculator'!I17</f>
        <v>3600</v>
      </c>
    </row>
    <row r="6">
      <c r="A6" s="84" t="s">
        <v>148</v>
      </c>
      <c r="B6" s="12">
        <f>'Master Calculator'!I22</f>
        <v>0</v>
      </c>
    </row>
    <row r="8">
      <c r="A8" s="84" t="s">
        <v>149</v>
      </c>
      <c r="B8" s="12">
        <f>sum(B5:B6)</f>
        <v>3600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1" ht="15.75" customHeight="1">
      <c r="A1" s="2" t="s">
        <v>150</v>
      </c>
      <c r="B1" s="97" t="s">
        <v>151</v>
      </c>
      <c r="C1" s="97" t="s">
        <v>152</v>
      </c>
      <c r="D1" s="97" t="s">
        <v>153</v>
      </c>
      <c r="E1" s="97" t="s">
        <v>154</v>
      </c>
      <c r="F1" s="97" t="s">
        <v>39</v>
      </c>
      <c r="G1" s="97" t="s">
        <v>24</v>
      </c>
      <c r="H1" s="97" t="s">
        <v>40</v>
      </c>
      <c r="I1" s="97" t="s">
        <v>155</v>
      </c>
      <c r="J1" s="97" t="s">
        <v>156</v>
      </c>
      <c r="K1" s="97" t="s">
        <v>157</v>
      </c>
      <c r="L1" s="97" t="s">
        <v>158</v>
      </c>
      <c r="M1" s="97" t="s">
        <v>132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98" t="s">
        <v>113</v>
      </c>
      <c r="B2" s="99">
        <v>1.0</v>
      </c>
      <c r="C2" s="99">
        <v>0.6</v>
      </c>
      <c r="D2" s="99">
        <v>0.5</v>
      </c>
      <c r="E2" s="99">
        <v>0.4</v>
      </c>
      <c r="F2" s="99">
        <v>0.35</v>
      </c>
      <c r="G2" s="99">
        <v>0.33</v>
      </c>
      <c r="H2" s="99">
        <v>0.3</v>
      </c>
      <c r="I2" s="99">
        <v>0.28</v>
      </c>
      <c r="J2" s="99">
        <v>0.26</v>
      </c>
      <c r="K2" s="99">
        <v>0.24</v>
      </c>
      <c r="L2" s="99">
        <v>0.23</v>
      </c>
      <c r="M2" s="99">
        <v>0.22</v>
      </c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5.75" customHeight="1">
      <c r="A3" s="98" t="s">
        <v>114</v>
      </c>
      <c r="B3" s="99"/>
      <c r="C3" s="99">
        <v>0.4</v>
      </c>
      <c r="D3" s="99">
        <v>0.3</v>
      </c>
      <c r="E3" s="99">
        <v>0.3</v>
      </c>
      <c r="F3" s="99">
        <v>0.25</v>
      </c>
      <c r="G3" s="99">
        <v>0.23</v>
      </c>
      <c r="H3" s="99">
        <v>0.21</v>
      </c>
      <c r="I3" s="99">
        <v>0.19</v>
      </c>
      <c r="J3" s="99">
        <v>0.18</v>
      </c>
      <c r="K3" s="99">
        <v>0.18</v>
      </c>
      <c r="L3" s="99">
        <v>0.17</v>
      </c>
      <c r="M3" s="99">
        <v>0.17</v>
      </c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A4" s="98" t="s">
        <v>115</v>
      </c>
      <c r="B4" s="99"/>
      <c r="C4" s="99"/>
      <c r="D4" s="99">
        <v>0.2</v>
      </c>
      <c r="E4" s="99">
        <v>0.2</v>
      </c>
      <c r="F4" s="99">
        <v>0.19</v>
      </c>
      <c r="G4" s="99">
        <v>0.17</v>
      </c>
      <c r="H4" s="99">
        <v>0.16</v>
      </c>
      <c r="I4" s="99">
        <v>0.15</v>
      </c>
      <c r="J4" s="99">
        <v>0.14</v>
      </c>
      <c r="K4" s="99">
        <v>0.13</v>
      </c>
      <c r="L4" s="99">
        <v>0.12</v>
      </c>
      <c r="M4" s="99">
        <v>0.12</v>
      </c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98" t="s">
        <v>116</v>
      </c>
      <c r="B5" s="99"/>
      <c r="C5" s="99"/>
      <c r="D5" s="99"/>
      <c r="E5" s="99">
        <v>0.1</v>
      </c>
      <c r="F5" s="99">
        <v>0.14</v>
      </c>
      <c r="G5" s="99">
        <v>0.12</v>
      </c>
      <c r="H5" s="99">
        <v>0.12</v>
      </c>
      <c r="I5" s="99">
        <v>0.11</v>
      </c>
      <c r="J5" s="99">
        <v>0.11</v>
      </c>
      <c r="K5" s="99">
        <v>0.11</v>
      </c>
      <c r="L5" s="99">
        <v>0.1</v>
      </c>
      <c r="M5" s="99">
        <v>0.09</v>
      </c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01" t="s">
        <v>117</v>
      </c>
      <c r="B6" s="99"/>
      <c r="C6" s="99"/>
      <c r="D6" s="99"/>
      <c r="E6" s="99"/>
      <c r="F6" s="99">
        <v>0.07</v>
      </c>
      <c r="G6" s="99">
        <v>0.09</v>
      </c>
      <c r="H6" s="99">
        <v>0.09</v>
      </c>
      <c r="I6" s="99">
        <v>0.09</v>
      </c>
      <c r="J6" s="99">
        <v>0.09</v>
      </c>
      <c r="K6" s="99">
        <v>0.09</v>
      </c>
      <c r="L6" s="99">
        <v>0.09</v>
      </c>
      <c r="M6" s="99">
        <v>0.08</v>
      </c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98" t="s">
        <v>118</v>
      </c>
      <c r="B7" s="99"/>
      <c r="C7" s="99"/>
      <c r="D7" s="99"/>
      <c r="E7" s="99"/>
      <c r="F7" s="99"/>
      <c r="G7" s="99">
        <v>0.06</v>
      </c>
      <c r="H7" s="99">
        <v>0.07</v>
      </c>
      <c r="I7" s="99">
        <v>0.08</v>
      </c>
      <c r="J7" s="99">
        <v>0.07</v>
      </c>
      <c r="K7" s="99">
        <v>0.07</v>
      </c>
      <c r="L7" s="99">
        <v>0.08</v>
      </c>
      <c r="M7" s="99">
        <v>0.07</v>
      </c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98" t="s">
        <v>119</v>
      </c>
      <c r="B8" s="99"/>
      <c r="C8" s="99"/>
      <c r="D8" s="99"/>
      <c r="E8" s="99"/>
      <c r="F8" s="99"/>
      <c r="G8" s="99"/>
      <c r="H8" s="99">
        <v>0.05</v>
      </c>
      <c r="I8" s="99">
        <v>0.06</v>
      </c>
      <c r="J8" s="99">
        <v>0.06</v>
      </c>
      <c r="K8" s="99">
        <v>0.06</v>
      </c>
      <c r="L8" s="99">
        <v>0.06</v>
      </c>
      <c r="M8" s="99">
        <v>0.06</v>
      </c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98" t="s">
        <v>120</v>
      </c>
      <c r="B9" s="99"/>
      <c r="C9" s="99"/>
      <c r="D9" s="99"/>
      <c r="E9" s="99"/>
      <c r="F9" s="99"/>
      <c r="G9" s="99"/>
      <c r="H9" s="99"/>
      <c r="I9" s="99">
        <v>0.04</v>
      </c>
      <c r="J9" s="99">
        <v>0.05</v>
      </c>
      <c r="K9" s="99">
        <v>0.05</v>
      </c>
      <c r="L9" s="99">
        <v>0.05</v>
      </c>
      <c r="M9" s="99">
        <v>0.05</v>
      </c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98" t="s">
        <v>121</v>
      </c>
      <c r="B10" s="99"/>
      <c r="C10" s="99"/>
      <c r="D10" s="99"/>
      <c r="E10" s="99"/>
      <c r="F10" s="99"/>
      <c r="G10" s="99"/>
      <c r="H10" s="99"/>
      <c r="I10" s="99"/>
      <c r="J10" s="99">
        <v>0.04</v>
      </c>
      <c r="K10" s="99">
        <v>0.04</v>
      </c>
      <c r="L10" s="99">
        <v>0.04</v>
      </c>
      <c r="M10" s="99">
        <v>0.04</v>
      </c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98" t="s">
        <v>122</v>
      </c>
      <c r="B11" s="99"/>
      <c r="C11" s="99"/>
      <c r="D11" s="99"/>
      <c r="E11" s="99"/>
      <c r="F11" s="99"/>
      <c r="G11" s="99"/>
      <c r="H11" s="99"/>
      <c r="I11" s="99"/>
      <c r="J11" s="99"/>
      <c r="K11" s="99">
        <v>0.03</v>
      </c>
      <c r="L11" s="99">
        <v>0.03</v>
      </c>
      <c r="M11" s="99">
        <v>0.04</v>
      </c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98" t="s">
        <v>123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>
        <v>0.03</v>
      </c>
      <c r="M12" s="99">
        <v>0.03</v>
      </c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98" t="s">
        <v>124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>
        <v>0.03</v>
      </c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02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02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102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102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</row>
    <row r="19" ht="15.75" customHeight="1">
      <c r="A19" s="102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</row>
    <row r="20" ht="15.75" customHeight="1">
      <c r="B20" s="99">
        <f t="shared" ref="B20:M20" si="1">SUM(B2:B19)</f>
        <v>1</v>
      </c>
      <c r="C20" s="99">
        <f t="shared" si="1"/>
        <v>1</v>
      </c>
      <c r="D20" s="99">
        <f t="shared" si="1"/>
        <v>1</v>
      </c>
      <c r="E20" s="99">
        <f t="shared" si="1"/>
        <v>1</v>
      </c>
      <c r="F20" s="99">
        <f t="shared" si="1"/>
        <v>1</v>
      </c>
      <c r="G20" s="99">
        <f t="shared" si="1"/>
        <v>1</v>
      </c>
      <c r="H20" s="99">
        <f t="shared" si="1"/>
        <v>1</v>
      </c>
      <c r="I20" s="99">
        <f t="shared" si="1"/>
        <v>1</v>
      </c>
      <c r="J20" s="99">
        <f t="shared" si="1"/>
        <v>1</v>
      </c>
      <c r="K20" s="99">
        <f t="shared" si="1"/>
        <v>1</v>
      </c>
      <c r="L20" s="99">
        <f t="shared" si="1"/>
        <v>1</v>
      </c>
      <c r="M20" s="99">
        <f t="shared" si="1"/>
        <v>1</v>
      </c>
    </row>
    <row r="21" ht="15.75" customHeight="1"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</row>
    <row r="22" ht="15.75" customHeight="1"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</row>
    <row r="23" ht="15.75" customHeight="1"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</row>
    <row r="24" ht="15.75" customHeight="1"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</row>
    <row r="25" ht="15.75" customHeight="1"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</row>
    <row r="26" ht="15.75" customHeight="1"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</row>
    <row r="27" ht="15.75" customHeight="1"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</row>
    <row r="28" ht="15.75" customHeight="1"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</row>
    <row r="29" ht="15.75" customHeight="1"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ht="15.75" customHeight="1"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</row>
    <row r="31" ht="15.75" customHeight="1"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</row>
    <row r="32" ht="15.75" customHeight="1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</row>
    <row r="33" ht="15.75" customHeight="1"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</row>
    <row r="34" ht="15.75" customHeight="1"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ht="15.75" customHeight="1"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ht="15.75" customHeight="1"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</row>
    <row r="37" ht="15.75" customHeight="1"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</row>
    <row r="38" ht="15.75" customHeight="1"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</row>
    <row r="39" ht="15.75" customHeight="1"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</row>
    <row r="40" ht="15.75" customHeight="1"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ht="15.75" customHeight="1"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</row>
    <row r="42" ht="15.75" customHeight="1"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</row>
    <row r="43" ht="15.75" customHeight="1"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</row>
    <row r="44" ht="15.75" customHeight="1"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</row>
    <row r="45" ht="15.75" customHeight="1"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</row>
    <row r="46" ht="15.75" customHeight="1"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ht="15.75" customHeight="1"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</row>
    <row r="48" ht="15.75" customHeight="1"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</row>
    <row r="49" ht="15.75" customHeight="1"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</row>
    <row r="50" ht="15.75" customHeight="1"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ht="15.75" customHeight="1"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</row>
    <row r="52" ht="15.75" customHeight="1"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ht="15.75" customHeight="1"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</row>
    <row r="54" ht="15.75" customHeight="1"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</row>
    <row r="55" ht="15.75" customHeight="1"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ht="15.75" customHeight="1"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</row>
    <row r="57" ht="15.75" customHeight="1"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ht="15.75" customHeight="1"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</row>
    <row r="59" ht="15.75" customHeight="1"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ht="15.75" customHeight="1"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ht="15.75" customHeight="1"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ht="15.75" customHeight="1"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ht="15.75" customHeight="1"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</row>
    <row r="64" ht="15.75" customHeight="1"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</row>
    <row r="65" ht="15.75" customHeight="1"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</row>
    <row r="66" ht="15.75" customHeight="1"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</row>
    <row r="67" ht="15.75" customHeight="1"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</row>
    <row r="68" ht="15.75" customHeight="1"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</row>
    <row r="69" ht="15.75" customHeight="1"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</row>
    <row r="70" ht="15.75" customHeight="1"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</row>
    <row r="71" ht="15.75" customHeight="1"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</row>
    <row r="72" ht="15.75" customHeight="1"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</row>
    <row r="73" ht="15.75" customHeight="1"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</row>
    <row r="74" ht="15.75" customHeight="1"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</row>
    <row r="75" ht="15.75" customHeight="1"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</row>
    <row r="76" ht="15.75" customHeight="1"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</row>
    <row r="77" ht="15.75" customHeight="1"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</row>
    <row r="78" ht="15.75" customHeight="1"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</row>
    <row r="79" ht="15.75" customHeight="1"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</row>
    <row r="80" ht="15.75" customHeight="1"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</row>
    <row r="81" ht="15.75" customHeight="1"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</row>
    <row r="82" ht="15.75" customHeight="1"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</row>
    <row r="83" ht="15.75" customHeight="1"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</row>
    <row r="84" ht="15.75" customHeight="1"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</row>
    <row r="85" ht="15.75" customHeight="1"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</row>
    <row r="86" ht="15.75" customHeight="1"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</row>
    <row r="87" ht="15.75" customHeight="1"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</row>
    <row r="88" ht="15.75" customHeight="1"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</row>
    <row r="89" ht="15.75" customHeight="1"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</row>
    <row r="90" ht="15.75" customHeight="1"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</row>
    <row r="91" ht="15.75" customHeight="1"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</row>
    <row r="92" ht="15.75" customHeight="1"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</row>
    <row r="93" ht="15.75" customHeight="1"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</row>
    <row r="94" ht="15.75" customHeight="1"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</row>
    <row r="95" ht="15.75" customHeight="1"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</row>
    <row r="96" ht="15.75" customHeight="1"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</row>
    <row r="97" ht="15.75" customHeight="1"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</row>
    <row r="98" ht="15.75" customHeight="1"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</row>
    <row r="99" ht="15.75" customHeight="1"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</row>
    <row r="100" ht="15.75" customHeight="1"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</row>
    <row r="101" ht="15.75" customHeight="1"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</row>
    <row r="102" ht="15.75" customHeight="1"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</row>
    <row r="103" ht="15.75" customHeight="1"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</row>
    <row r="104" ht="15.75" customHeight="1"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</row>
    <row r="105" ht="15.75" customHeight="1"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</row>
    <row r="106" ht="15.75" customHeight="1"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</row>
    <row r="107" ht="15.75" customHeight="1"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</row>
    <row r="108" ht="15.75" customHeight="1"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</row>
    <row r="109" ht="15.75" customHeight="1"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</row>
    <row r="110" ht="15.75" customHeight="1"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</row>
    <row r="111" ht="15.75" customHeight="1"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</row>
    <row r="112" ht="15.75" customHeight="1"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</row>
    <row r="113" ht="15.75" customHeight="1"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</row>
    <row r="114" ht="15.75" customHeight="1"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</row>
    <row r="115" ht="15.75" customHeight="1"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</row>
    <row r="116" ht="15.75" customHeight="1"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</row>
    <row r="117" ht="15.75" customHeight="1"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</row>
    <row r="118" ht="15.75" customHeight="1"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</row>
    <row r="119" ht="15.75" customHeight="1"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</row>
    <row r="120" ht="15.75" customHeight="1"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</row>
    <row r="121" ht="15.75" customHeight="1"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</row>
    <row r="122" ht="15.75" customHeight="1"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</row>
    <row r="123" ht="15.75" customHeight="1"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</row>
    <row r="124" ht="15.75" customHeight="1"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</row>
    <row r="125" ht="15.75" customHeight="1"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</row>
    <row r="126" ht="15.75" customHeight="1"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</row>
    <row r="127" ht="15.75" customHeight="1"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</row>
    <row r="128" ht="15.75" customHeight="1"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</row>
    <row r="129" ht="15.75" customHeight="1"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</row>
    <row r="130" ht="15.75" customHeight="1"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</row>
    <row r="131" ht="15.75" customHeight="1"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</row>
    <row r="132" ht="15.75" customHeight="1"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</row>
    <row r="133" ht="15.75" customHeight="1"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</row>
    <row r="134" ht="15.75" customHeight="1"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</row>
    <row r="135" ht="15.75" customHeight="1"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</row>
    <row r="136" ht="15.75" customHeight="1"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</row>
    <row r="137" ht="15.75" customHeight="1"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</row>
    <row r="138" ht="15.75" customHeight="1"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</row>
    <row r="139" ht="15.75" customHeight="1"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</row>
    <row r="140" ht="15.75" customHeight="1"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</row>
    <row r="141" ht="15.75" customHeight="1"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</row>
    <row r="142" ht="15.75" customHeight="1"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</row>
    <row r="143" ht="15.75" customHeight="1"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</row>
    <row r="144" ht="15.75" customHeight="1"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</row>
    <row r="145" ht="15.75" customHeight="1"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</row>
    <row r="146" ht="15.75" customHeight="1"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</row>
    <row r="147" ht="15.75" customHeight="1"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</row>
    <row r="148" ht="15.75" customHeight="1"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</row>
    <row r="149" ht="15.75" customHeight="1"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</row>
    <row r="150" ht="15.75" customHeight="1"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</row>
    <row r="151" ht="15.75" customHeight="1"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</row>
    <row r="152" ht="15.75" customHeight="1"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</row>
    <row r="153" ht="15.75" customHeight="1"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</row>
    <row r="154" ht="15.75" customHeight="1"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</row>
    <row r="155" ht="15.75" customHeight="1"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</row>
    <row r="156" ht="15.75" customHeight="1"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</row>
    <row r="157" ht="15.75" customHeight="1"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</row>
    <row r="158" ht="15.75" customHeight="1"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</row>
    <row r="159" ht="15.75" customHeight="1"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</row>
    <row r="160" ht="15.75" customHeight="1"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</row>
    <row r="161" ht="15.75" customHeight="1"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</row>
    <row r="162" ht="15.75" customHeight="1"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</row>
    <row r="163" ht="15.75" customHeight="1"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</row>
    <row r="164" ht="15.75" customHeight="1"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</row>
    <row r="165" ht="15.75" customHeight="1"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</row>
    <row r="166" ht="15.75" customHeight="1"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</row>
    <row r="167" ht="15.75" customHeight="1"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</row>
    <row r="168" ht="15.75" customHeight="1"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</row>
    <row r="169" ht="15.75" customHeight="1"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</row>
    <row r="170" ht="15.75" customHeight="1"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</row>
    <row r="171" ht="15.75" customHeight="1"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</row>
    <row r="172" ht="15.75" customHeight="1"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</row>
    <row r="173" ht="15.75" customHeight="1"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</row>
    <row r="174" ht="15.75" customHeight="1"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</row>
    <row r="175" ht="15.75" customHeight="1"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</row>
    <row r="176" ht="15.75" customHeight="1"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</row>
    <row r="177" ht="15.75" customHeight="1"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</row>
    <row r="178" ht="15.75" customHeight="1"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</row>
    <row r="179" ht="15.75" customHeight="1"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</row>
    <row r="180" ht="15.75" customHeight="1"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</row>
    <row r="181" ht="15.75" customHeight="1"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</row>
    <row r="182" ht="15.75" customHeight="1"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</row>
    <row r="183" ht="15.75" customHeight="1"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</row>
    <row r="184" ht="15.75" customHeight="1"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</row>
    <row r="185" ht="15.75" customHeight="1"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</row>
    <row r="186" ht="15.75" customHeight="1"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</row>
    <row r="187" ht="15.75" customHeight="1"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</row>
    <row r="188" ht="15.75" customHeight="1"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</row>
    <row r="189" ht="15.75" customHeight="1"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</row>
    <row r="190" ht="15.75" customHeight="1"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</row>
    <row r="191" ht="15.75" customHeight="1"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</row>
    <row r="192" ht="15.75" customHeight="1"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</row>
    <row r="193" ht="15.75" customHeight="1"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</row>
    <row r="194" ht="15.75" customHeight="1"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</row>
    <row r="195" ht="15.75" customHeight="1"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</row>
    <row r="196" ht="15.75" customHeight="1"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</row>
    <row r="197" ht="15.75" customHeight="1"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</row>
    <row r="198" ht="15.75" customHeight="1"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</row>
    <row r="199" ht="15.75" customHeight="1"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</row>
    <row r="200" ht="15.75" customHeight="1"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</row>
    <row r="201" ht="15.75" customHeight="1"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</row>
    <row r="202" ht="15.75" customHeight="1"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</row>
    <row r="203" ht="15.75" customHeight="1"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</row>
    <row r="204" ht="15.75" customHeight="1"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</row>
    <row r="205" ht="15.75" customHeight="1"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</row>
    <row r="206" ht="15.75" customHeight="1"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</row>
    <row r="207" ht="15.75" customHeight="1"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</row>
    <row r="208" ht="15.75" customHeight="1"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</row>
    <row r="209" ht="15.75" customHeight="1"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</row>
    <row r="210" ht="15.75" customHeight="1"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</row>
    <row r="211" ht="15.75" customHeight="1"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</row>
    <row r="212" ht="15.75" customHeight="1"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</row>
    <row r="213" ht="15.75" customHeight="1"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</row>
    <row r="214" ht="15.75" customHeight="1"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</row>
    <row r="215" ht="15.75" customHeight="1"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</row>
    <row r="216" ht="15.75" customHeight="1"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</row>
    <row r="217" ht="15.75" customHeight="1"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</row>
    <row r="218" ht="15.75" customHeight="1"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</row>
    <row r="219" ht="15.75" customHeight="1"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</row>
    <row r="220" ht="15.75" customHeight="1"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6.25"/>
  </cols>
  <sheetData>
    <row r="1" ht="15.75" customHeight="1">
      <c r="A1" s="101" t="s">
        <v>159</v>
      </c>
      <c r="B1" s="101" t="s">
        <v>160</v>
      </c>
    </row>
    <row r="2" ht="15.75" customHeight="1">
      <c r="A2" s="104" t="s">
        <v>161</v>
      </c>
      <c r="B2" s="104" t="s">
        <v>162</v>
      </c>
    </row>
    <row r="3" ht="15.75" customHeight="1"/>
    <row r="4" ht="15.75" customHeight="1">
      <c r="A4" s="104" t="s">
        <v>163</v>
      </c>
      <c r="B4" s="104" t="s">
        <v>164</v>
      </c>
    </row>
    <row r="5" ht="15.75" customHeight="1">
      <c r="A5" s="104" t="s">
        <v>165</v>
      </c>
      <c r="B5" s="104" t="s">
        <v>166</v>
      </c>
    </row>
    <row r="6" ht="15.75" customHeight="1">
      <c r="A6" s="104" t="s">
        <v>167</v>
      </c>
      <c r="B6" s="104" t="s">
        <v>168</v>
      </c>
    </row>
    <row r="7" ht="15.75" customHeight="1">
      <c r="A7" s="104" t="s">
        <v>169</v>
      </c>
      <c r="B7" s="104" t="s">
        <v>170</v>
      </c>
    </row>
    <row r="8" ht="15.75" customHeight="1">
      <c r="A8" s="104" t="s">
        <v>171</v>
      </c>
      <c r="B8" s="104" t="s">
        <v>172</v>
      </c>
    </row>
    <row r="9" ht="15.75" customHeight="1">
      <c r="A9" s="104" t="s">
        <v>173</v>
      </c>
      <c r="B9" s="104" t="s">
        <v>174</v>
      </c>
    </row>
    <row r="10" ht="15.75" customHeight="1">
      <c r="A10" s="104" t="s">
        <v>175</v>
      </c>
      <c r="B10" s="104" t="s">
        <v>176</v>
      </c>
    </row>
    <row r="11" ht="15.75" customHeight="1">
      <c r="A11" s="104" t="s">
        <v>177</v>
      </c>
      <c r="B11" s="104" t="s">
        <v>178</v>
      </c>
    </row>
    <row r="12" ht="15.75" customHeight="1">
      <c r="A12" s="104" t="s">
        <v>179</v>
      </c>
      <c r="B12" s="104" t="s">
        <v>180</v>
      </c>
    </row>
    <row r="13" ht="15.75" customHeight="1"/>
    <row r="14" ht="15.75" customHeight="1">
      <c r="A14" s="104" t="s">
        <v>181</v>
      </c>
      <c r="B14" s="104" t="s">
        <v>182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